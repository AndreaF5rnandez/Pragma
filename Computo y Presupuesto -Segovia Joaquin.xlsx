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ndrea Fernandez\Documents\Pragma\presupuestador-obras\"/>
    </mc:Choice>
  </mc:AlternateContent>
  <xr:revisionPtr revIDLastSave="0" documentId="13_ncr:1_{C9110EE5-AC96-4F47-B543-B04BCE7E16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A" sheetId="4" r:id="rId1"/>
    <sheet name="ANALISIS DE PRECIOS" sheetId="5" r:id="rId2"/>
    <sheet name="Computo" sheetId="6" r:id="rId3"/>
    <sheet name="Presupuesto" sheetId="2" r:id="rId4"/>
    <sheet name="Hoja1" sheetId="7" r:id="rId5"/>
  </sheets>
  <externalReferences>
    <externalReference r:id="rId6"/>
  </externalReferences>
  <definedNames>
    <definedName name="_xlnm.Print_Area" localSheetId="1">'ANALISIS DE PRECIOS'!$A$1:$H$1234</definedName>
    <definedName name="_xlnm.Print_Area" localSheetId="0">LISTA!$A$1:$F$98</definedName>
    <definedName name="GASTOS">#REF!</definedName>
    <definedName name="PPTO">#REF!</definedName>
    <definedName name="_xlnm.Print_Titles" localSheetId="1">'ANALISIS DE PRECIOS'!$1:$7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2" i="6" l="1"/>
  <c r="L21" i="6"/>
  <c r="K8" i="6"/>
  <c r="K7" i="6"/>
  <c r="L23" i="6"/>
  <c r="P20" i="6"/>
  <c r="N20" i="6"/>
  <c r="L20" i="6"/>
  <c r="H13" i="2"/>
  <c r="I12" i="2"/>
  <c r="E447" i="5"/>
  <c r="G13" i="2"/>
  <c r="F15" i="2"/>
  <c r="N64" i="6"/>
  <c r="O64" i="6" s="1"/>
  <c r="N63" i="6"/>
  <c r="O63" i="6" s="1"/>
  <c r="O62" i="6" s="1"/>
  <c r="F28" i="2" s="1"/>
  <c r="F59" i="2" l="1"/>
  <c r="F57" i="2"/>
  <c r="H57" i="2" s="1"/>
  <c r="F54" i="2"/>
  <c r="F53" i="2"/>
  <c r="H53" i="2" s="1"/>
  <c r="F50" i="2"/>
  <c r="F49" i="2"/>
  <c r="K28" i="6"/>
  <c r="K30" i="6"/>
  <c r="L28" i="6"/>
  <c r="F20" i="2"/>
  <c r="K27" i="6"/>
  <c r="L27" i="6" s="1"/>
  <c r="F19" i="2" s="1"/>
  <c r="K29" i="6"/>
  <c r="K21" i="6"/>
  <c r="K26" i="6" s="1"/>
  <c r="F18" i="2" s="1"/>
  <c r="K9" i="6"/>
  <c r="K10" i="6"/>
  <c r="K11" i="6"/>
  <c r="K12" i="6"/>
  <c r="K13" i="6"/>
  <c r="K14" i="6"/>
  <c r="K15" i="6"/>
  <c r="K16" i="6"/>
  <c r="K17" i="6"/>
  <c r="K18" i="6"/>
  <c r="K19" i="6"/>
  <c r="K20" i="6"/>
  <c r="K22" i="6"/>
  <c r="K23" i="6"/>
  <c r="K144" i="6"/>
  <c r="L144" i="6"/>
  <c r="F63" i="2" s="1"/>
  <c r="K143" i="6"/>
  <c r="L143" i="6"/>
  <c r="F62" i="2" s="1"/>
  <c r="K142" i="6"/>
  <c r="L142" i="6"/>
  <c r="F61" i="2" s="1"/>
  <c r="K141" i="6"/>
  <c r="L141" i="6"/>
  <c r="F60" i="2" s="1"/>
  <c r="L140" i="6"/>
  <c r="K140" i="6"/>
  <c r="L138" i="6"/>
  <c r="L137" i="6"/>
  <c r="F56" i="2" s="1"/>
  <c r="H56" i="2" s="1"/>
  <c r="I55" i="2" s="1"/>
  <c r="L135" i="6"/>
  <c r="L134" i="6"/>
  <c r="L133" i="6"/>
  <c r="F52" i="2" s="1"/>
  <c r="H52" i="2" s="1"/>
  <c r="L132" i="6"/>
  <c r="F51" i="2" s="1"/>
  <c r="H51" i="2" s="1"/>
  <c r="L131" i="6"/>
  <c r="L130" i="6"/>
  <c r="K82" i="6"/>
  <c r="K84" i="6"/>
  <c r="L81" i="6" s="1"/>
  <c r="K85" i="6"/>
  <c r="K86" i="6"/>
  <c r="K87" i="6"/>
  <c r="K89" i="6"/>
  <c r="K90" i="6"/>
  <c r="K91" i="6"/>
  <c r="K92" i="6"/>
  <c r="K93" i="6"/>
  <c r="K94" i="6"/>
  <c r="K95" i="6"/>
  <c r="K96" i="6"/>
  <c r="K97" i="6"/>
  <c r="K98" i="6"/>
  <c r="K88" i="6"/>
  <c r="K83" i="6"/>
  <c r="K100" i="6"/>
  <c r="K101" i="6"/>
  <c r="K102" i="6"/>
  <c r="L99" i="6" s="1"/>
  <c r="K103" i="6"/>
  <c r="K104" i="6"/>
  <c r="K105" i="6"/>
  <c r="K106" i="6"/>
  <c r="K108" i="6"/>
  <c r="K107" i="6"/>
  <c r="K109" i="6"/>
  <c r="K111" i="6"/>
  <c r="K110" i="6"/>
  <c r="K112" i="6"/>
  <c r="K113" i="6"/>
  <c r="K114" i="6"/>
  <c r="K115" i="6"/>
  <c r="K116" i="6"/>
  <c r="K117" i="6"/>
  <c r="K118" i="6"/>
  <c r="K119" i="6"/>
  <c r="K120" i="6"/>
  <c r="K124" i="6"/>
  <c r="F44" i="2" s="1"/>
  <c r="K125" i="6"/>
  <c r="F45" i="2" s="1"/>
  <c r="L78" i="6"/>
  <c r="F35" i="2" s="1"/>
  <c r="K67" i="6"/>
  <c r="K68" i="6"/>
  <c r="L66" i="6" s="1"/>
  <c r="K69" i="6"/>
  <c r="K70" i="6"/>
  <c r="K71" i="6"/>
  <c r="K72" i="6"/>
  <c r="K73" i="6"/>
  <c r="K74" i="6"/>
  <c r="K63" i="6"/>
  <c r="K64" i="6"/>
  <c r="K56" i="6"/>
  <c r="K57" i="6"/>
  <c r="K58" i="6"/>
  <c r="L55" i="6" s="1"/>
  <c r="F26" i="2" s="1"/>
  <c r="K59" i="6"/>
  <c r="K37" i="6"/>
  <c r="K38" i="6"/>
  <c r="K39" i="6"/>
  <c r="K40" i="6"/>
  <c r="K41" i="6"/>
  <c r="K42" i="6"/>
  <c r="K43" i="6"/>
  <c r="K44" i="6"/>
  <c r="K45" i="6"/>
  <c r="K46" i="6"/>
  <c r="K47" i="6"/>
  <c r="K49" i="6"/>
  <c r="K50" i="6"/>
  <c r="K51" i="6"/>
  <c r="K52" i="6"/>
  <c r="K53" i="6"/>
  <c r="K54" i="6"/>
  <c r="L36" i="6"/>
  <c r="F25" i="2" s="1"/>
  <c r="K48" i="6"/>
  <c r="K33" i="6"/>
  <c r="H50" i="2"/>
  <c r="H54" i="2"/>
  <c r="H49" i="2"/>
  <c r="I48" i="2" s="1"/>
  <c r="K176" i="5"/>
  <c r="K36" i="5"/>
  <c r="M36" i="5" s="1"/>
  <c r="M37" i="5" s="1"/>
  <c r="M48" i="5" s="1"/>
  <c r="K177" i="5"/>
  <c r="K178" i="5"/>
  <c r="K179" i="5"/>
  <c r="K180" i="5"/>
  <c r="M180" i="5" s="1"/>
  <c r="M182" i="5"/>
  <c r="G70" i="5"/>
  <c r="F1937" i="5"/>
  <c r="F1936" i="5"/>
  <c r="G1924" i="5"/>
  <c r="F1910" i="5"/>
  <c r="F1909" i="5"/>
  <c r="G1912" i="5" s="1"/>
  <c r="G1897" i="5"/>
  <c r="F1883" i="5"/>
  <c r="F1882" i="5"/>
  <c r="G1870" i="5"/>
  <c r="F1856" i="5"/>
  <c r="F1855" i="5"/>
  <c r="G1858" i="5"/>
  <c r="G1843" i="5"/>
  <c r="F1829" i="5"/>
  <c r="F1828" i="5"/>
  <c r="G1816" i="5"/>
  <c r="F1802" i="5"/>
  <c r="F1801" i="5"/>
  <c r="G1804" i="5" s="1"/>
  <c r="G1789" i="5"/>
  <c r="F1775" i="5"/>
  <c r="F1774" i="5"/>
  <c r="G1762" i="5"/>
  <c r="F1748" i="5"/>
  <c r="F1747" i="5"/>
  <c r="G1750" i="5"/>
  <c r="G1735" i="5"/>
  <c r="F1715" i="5"/>
  <c r="U1704" i="5"/>
  <c r="C1704" i="5"/>
  <c r="B1704" i="5"/>
  <c r="F1695" i="5"/>
  <c r="F1694" i="5"/>
  <c r="U1686" i="5"/>
  <c r="C1686" i="5"/>
  <c r="B1686" i="5"/>
  <c r="E1676" i="5"/>
  <c r="F1676" i="5"/>
  <c r="C1676" i="5"/>
  <c r="B1676" i="5"/>
  <c r="U1667" i="5"/>
  <c r="C1667" i="5"/>
  <c r="B1667" i="5"/>
  <c r="F1655" i="5"/>
  <c r="F1654" i="5"/>
  <c r="U1646" i="5"/>
  <c r="C1646" i="5"/>
  <c r="B1646" i="5"/>
  <c r="F1634" i="5"/>
  <c r="F1633" i="5"/>
  <c r="U1625" i="5"/>
  <c r="C1625" i="5"/>
  <c r="B1625" i="5"/>
  <c r="F1615" i="5"/>
  <c r="C1615" i="5"/>
  <c r="B1615" i="5"/>
  <c r="E1614" i="5"/>
  <c r="F1614" i="5" s="1"/>
  <c r="G1617" i="5" s="1"/>
  <c r="F1617" i="5"/>
  <c r="U1606" i="5"/>
  <c r="C1606" i="5"/>
  <c r="B1606" i="5"/>
  <c r="F1586" i="5"/>
  <c r="F1578" i="5"/>
  <c r="F1580" i="5"/>
  <c r="F1583" i="5"/>
  <c r="F1585" i="5" s="1"/>
  <c r="I1559" i="5"/>
  <c r="F1542" i="5"/>
  <c r="D1541" i="5"/>
  <c r="D1539" i="5"/>
  <c r="I1537" i="5"/>
  <c r="F1519" i="5"/>
  <c r="D1518" i="5"/>
  <c r="D1517" i="5"/>
  <c r="D1516" i="5"/>
  <c r="D1514" i="5"/>
  <c r="D1513" i="5"/>
  <c r="D1512" i="5"/>
  <c r="D1511" i="5"/>
  <c r="F1493" i="5"/>
  <c r="F1492" i="5"/>
  <c r="F1491" i="5"/>
  <c r="F1490" i="5"/>
  <c r="F1489" i="5"/>
  <c r="F1488" i="5"/>
  <c r="F1487" i="5"/>
  <c r="E1470" i="5"/>
  <c r="F1470" i="5" s="1"/>
  <c r="C1470" i="5"/>
  <c r="B1470" i="5"/>
  <c r="F1469" i="5"/>
  <c r="C1469" i="5"/>
  <c r="B1469" i="5"/>
  <c r="E1452" i="5"/>
  <c r="F1452" i="5"/>
  <c r="C1452" i="5"/>
  <c r="B1452" i="5"/>
  <c r="E1451" i="5"/>
  <c r="F1451" i="5" s="1"/>
  <c r="C1451" i="5"/>
  <c r="B1451" i="5"/>
  <c r="E1450" i="5"/>
  <c r="F1450" i="5" s="1"/>
  <c r="C1450" i="5"/>
  <c r="B1450" i="5"/>
  <c r="E1449" i="5"/>
  <c r="D1449" i="5"/>
  <c r="F1449" i="5" s="1"/>
  <c r="C1449" i="5"/>
  <c r="B1449" i="5"/>
  <c r="D1448" i="5"/>
  <c r="E1447" i="5"/>
  <c r="F1447" i="5" s="1"/>
  <c r="D1447" i="5"/>
  <c r="C1447" i="5"/>
  <c r="B1447" i="5"/>
  <c r="F1429" i="5"/>
  <c r="E1428" i="5"/>
  <c r="F1428" i="5"/>
  <c r="C1428" i="5"/>
  <c r="B1428" i="5"/>
  <c r="E1427" i="5"/>
  <c r="F1427" i="5" s="1"/>
  <c r="C1427" i="5"/>
  <c r="B1427" i="5"/>
  <c r="E1408" i="5"/>
  <c r="F1408" i="5"/>
  <c r="C1408" i="5"/>
  <c r="B1408" i="5"/>
  <c r="E1407" i="5"/>
  <c r="F1407" i="5" s="1"/>
  <c r="G1410" i="5" s="1"/>
  <c r="C1407" i="5"/>
  <c r="B1407" i="5"/>
  <c r="F1389" i="5"/>
  <c r="E1388" i="5"/>
  <c r="F1388" i="5"/>
  <c r="C1388" i="5"/>
  <c r="B1388" i="5"/>
  <c r="E1387" i="5"/>
  <c r="F1387" i="5"/>
  <c r="C1387" i="5"/>
  <c r="B1387" i="5"/>
  <c r="E1386" i="5"/>
  <c r="F1386" i="5" s="1"/>
  <c r="G1390" i="5" s="1"/>
  <c r="C1386" i="5"/>
  <c r="B1386" i="5"/>
  <c r="E1385" i="5"/>
  <c r="F1385" i="5"/>
  <c r="C1385" i="5"/>
  <c r="B1385" i="5"/>
  <c r="E1384" i="5"/>
  <c r="F1384" i="5"/>
  <c r="C1384" i="5"/>
  <c r="B1384" i="5"/>
  <c r="F1366" i="5"/>
  <c r="G1367" i="5" s="1"/>
  <c r="E1365" i="5"/>
  <c r="F1365" i="5"/>
  <c r="C1365" i="5"/>
  <c r="B1365" i="5"/>
  <c r="E1364" i="5"/>
  <c r="F1364" i="5"/>
  <c r="C1364" i="5"/>
  <c r="B1364" i="5"/>
  <c r="E1363" i="5"/>
  <c r="F1363" i="5" s="1"/>
  <c r="C1363" i="5"/>
  <c r="B1363" i="5"/>
  <c r="E1362" i="5"/>
  <c r="F1362" i="5"/>
  <c r="C1362" i="5"/>
  <c r="B1362" i="5"/>
  <c r="E1361" i="5"/>
  <c r="F1361" i="5" s="1"/>
  <c r="C1361" i="5"/>
  <c r="B1361" i="5"/>
  <c r="E1360" i="5"/>
  <c r="F1360" i="5" s="1"/>
  <c r="C1360" i="5"/>
  <c r="B1360" i="5"/>
  <c r="E1359" i="5"/>
  <c r="F1359" i="5"/>
  <c r="C1359" i="5"/>
  <c r="B1359" i="5"/>
  <c r="E1341" i="5"/>
  <c r="F1341" i="5" s="1"/>
  <c r="C1341" i="5"/>
  <c r="B1341" i="5"/>
  <c r="E1340" i="5"/>
  <c r="F1340" i="5" s="1"/>
  <c r="D1340" i="5"/>
  <c r="C1340" i="5"/>
  <c r="B1340" i="5"/>
  <c r="E1339" i="5"/>
  <c r="D1339" i="5"/>
  <c r="F1339" i="5" s="1"/>
  <c r="G1342" i="5" s="1"/>
  <c r="C1339" i="5"/>
  <c r="B1339" i="5"/>
  <c r="E1338" i="5"/>
  <c r="F1338" i="5" s="1"/>
  <c r="C1338" i="5"/>
  <c r="B1338" i="5"/>
  <c r="E1320" i="5"/>
  <c r="F1320" i="5" s="1"/>
  <c r="C1320" i="5"/>
  <c r="B1320" i="5"/>
  <c r="E1319" i="5"/>
  <c r="F1319" i="5"/>
  <c r="C1319" i="5"/>
  <c r="B1319" i="5"/>
  <c r="E1318" i="5"/>
  <c r="F1318" i="5"/>
  <c r="G1321" i="5" s="1"/>
  <c r="C1318" i="5"/>
  <c r="B1318" i="5"/>
  <c r="E1301" i="5"/>
  <c r="F1301" i="5" s="1"/>
  <c r="C1301" i="5"/>
  <c r="B1301" i="5"/>
  <c r="E1300" i="5"/>
  <c r="F1300" i="5"/>
  <c r="G1302" i="5" s="1"/>
  <c r="C1300" i="5"/>
  <c r="B1300" i="5"/>
  <c r="E1282" i="5"/>
  <c r="F1282" i="5" s="1"/>
  <c r="C1282" i="5"/>
  <c r="B1282" i="5"/>
  <c r="C1280" i="5"/>
  <c r="E1279" i="5"/>
  <c r="F1279" i="5"/>
  <c r="C1279" i="5"/>
  <c r="B1279" i="5"/>
  <c r="E1261" i="5"/>
  <c r="F1261" i="5" s="1"/>
  <c r="G1262" i="5" s="1"/>
  <c r="C1261" i="5"/>
  <c r="B1261" i="5"/>
  <c r="E1260" i="5"/>
  <c r="F1260" i="5" s="1"/>
  <c r="C1260" i="5"/>
  <c r="B1260" i="5"/>
  <c r="E1241" i="5"/>
  <c r="F1241" i="5"/>
  <c r="G1243" i="5"/>
  <c r="C1241" i="5"/>
  <c r="B1241" i="5"/>
  <c r="E1221" i="5"/>
  <c r="F1221" i="5" s="1"/>
  <c r="C1221" i="5"/>
  <c r="B1221" i="5"/>
  <c r="E1220" i="5"/>
  <c r="D1220" i="5"/>
  <c r="C1220" i="5"/>
  <c r="B1220" i="5"/>
  <c r="E1219" i="5"/>
  <c r="D1219" i="5"/>
  <c r="F1219" i="5" s="1"/>
  <c r="G1224" i="5" s="1"/>
  <c r="C1219" i="5"/>
  <c r="B1219" i="5"/>
  <c r="E1201" i="5"/>
  <c r="F1201" i="5" s="1"/>
  <c r="C1201" i="5"/>
  <c r="B1201" i="5"/>
  <c r="E1200" i="5"/>
  <c r="F1200" i="5"/>
  <c r="C1200" i="5"/>
  <c r="B1200" i="5"/>
  <c r="E1199" i="5"/>
  <c r="D1199" i="5"/>
  <c r="C1199" i="5"/>
  <c r="B1199" i="5"/>
  <c r="E1198" i="5"/>
  <c r="D1198" i="5"/>
  <c r="C1198" i="5"/>
  <c r="B1198" i="5"/>
  <c r="F1180" i="5"/>
  <c r="F1179" i="5"/>
  <c r="F1178" i="5"/>
  <c r="D1176" i="5"/>
  <c r="D1175" i="5"/>
  <c r="D1174" i="5"/>
  <c r="E1157" i="5"/>
  <c r="F1157" i="5"/>
  <c r="C1157" i="5"/>
  <c r="B1157" i="5"/>
  <c r="E1156" i="5"/>
  <c r="F1156" i="5" s="1"/>
  <c r="G1158" i="5" s="1"/>
  <c r="C1156" i="5"/>
  <c r="B1156" i="5"/>
  <c r="E1155" i="5"/>
  <c r="F1155" i="5" s="1"/>
  <c r="C1155" i="5"/>
  <c r="B1155" i="5"/>
  <c r="E1138" i="5"/>
  <c r="F1138" i="5"/>
  <c r="C1138" i="5"/>
  <c r="B1138" i="5"/>
  <c r="E1137" i="5"/>
  <c r="F1137" i="5"/>
  <c r="C1137" i="5"/>
  <c r="B1137" i="5"/>
  <c r="E1136" i="5"/>
  <c r="F1136" i="5" s="1"/>
  <c r="G1139" i="5" s="1"/>
  <c r="C1136" i="5"/>
  <c r="B1136" i="5"/>
  <c r="E1119" i="5"/>
  <c r="F1119" i="5"/>
  <c r="C1119" i="5"/>
  <c r="B1119" i="5"/>
  <c r="E1118" i="5"/>
  <c r="F1118" i="5" s="1"/>
  <c r="C1118" i="5"/>
  <c r="B1118" i="5"/>
  <c r="E1100" i="5"/>
  <c r="F1100" i="5"/>
  <c r="C1100" i="5"/>
  <c r="B1100" i="5"/>
  <c r="E1099" i="5"/>
  <c r="F1099" i="5" s="1"/>
  <c r="C1099" i="5"/>
  <c r="B1099" i="5"/>
  <c r="E1098" i="5"/>
  <c r="F1098" i="5" s="1"/>
  <c r="C1098" i="5"/>
  <c r="B1098" i="5"/>
  <c r="E1097" i="5"/>
  <c r="F1097" i="5"/>
  <c r="C1097" i="5"/>
  <c r="B1097" i="5"/>
  <c r="E1080" i="5"/>
  <c r="F1080" i="5" s="1"/>
  <c r="C1080" i="5"/>
  <c r="B1080" i="5"/>
  <c r="E1079" i="5"/>
  <c r="F1079" i="5" s="1"/>
  <c r="C1079" i="5"/>
  <c r="B1079" i="5"/>
  <c r="E1078" i="5"/>
  <c r="F1078" i="5"/>
  <c r="C1078" i="5"/>
  <c r="B1078" i="5"/>
  <c r="E1077" i="5"/>
  <c r="F1077" i="5"/>
  <c r="C1077" i="5"/>
  <c r="B1077" i="5"/>
  <c r="E1060" i="5"/>
  <c r="F1060" i="5" s="1"/>
  <c r="C1060" i="5"/>
  <c r="B1060" i="5"/>
  <c r="E1059" i="5"/>
  <c r="F1059" i="5"/>
  <c r="C1059" i="5"/>
  <c r="B1059" i="5"/>
  <c r="E1058" i="5"/>
  <c r="F1058" i="5" s="1"/>
  <c r="G1061" i="5" s="1"/>
  <c r="C1058" i="5"/>
  <c r="B1058" i="5"/>
  <c r="E1057" i="5"/>
  <c r="F1057" i="5" s="1"/>
  <c r="C1057" i="5"/>
  <c r="B1057" i="5"/>
  <c r="E1039" i="5"/>
  <c r="F1039" i="5"/>
  <c r="C1039" i="5"/>
  <c r="B1039" i="5"/>
  <c r="E1038" i="5"/>
  <c r="F1038" i="5"/>
  <c r="C1038" i="5"/>
  <c r="B1038" i="5"/>
  <c r="E1037" i="5"/>
  <c r="F1037" i="5" s="1"/>
  <c r="C1037" i="5"/>
  <c r="B1037" i="5"/>
  <c r="E1017" i="5"/>
  <c r="F1017" i="5"/>
  <c r="C1017" i="5"/>
  <c r="B1017" i="5"/>
  <c r="E1016" i="5"/>
  <c r="F1016" i="5"/>
  <c r="C1016" i="5"/>
  <c r="B1016" i="5"/>
  <c r="E1015" i="5"/>
  <c r="F1015" i="5" s="1"/>
  <c r="C1015" i="5"/>
  <c r="B1015" i="5"/>
  <c r="E1014" i="5"/>
  <c r="F1014" i="5"/>
  <c r="E1018" i="5"/>
  <c r="F1018" i="5" s="1"/>
  <c r="C1014" i="5"/>
  <c r="B1014" i="5"/>
  <c r="E1013" i="5"/>
  <c r="F1013" i="5"/>
  <c r="C1013" i="5"/>
  <c r="B1013" i="5"/>
  <c r="E994" i="5"/>
  <c r="F994" i="5"/>
  <c r="G996" i="5" s="1"/>
  <c r="C994" i="5"/>
  <c r="B994" i="5"/>
  <c r="E975" i="5"/>
  <c r="F975" i="5"/>
  <c r="G977" i="5" s="1"/>
  <c r="C975" i="5"/>
  <c r="B975" i="5"/>
  <c r="E957" i="5"/>
  <c r="D957" i="5"/>
  <c r="C957" i="5"/>
  <c r="B957" i="5"/>
  <c r="E956" i="5"/>
  <c r="D956" i="5"/>
  <c r="C956" i="5"/>
  <c r="B956" i="5"/>
  <c r="E955" i="5"/>
  <c r="D955" i="5"/>
  <c r="C955" i="5"/>
  <c r="B955" i="5"/>
  <c r="E954" i="5"/>
  <c r="D954" i="5"/>
  <c r="C954" i="5"/>
  <c r="B954" i="5"/>
  <c r="E953" i="5"/>
  <c r="D953" i="5"/>
  <c r="C953" i="5"/>
  <c r="B953" i="5"/>
  <c r="E935" i="5"/>
  <c r="F935" i="5" s="1"/>
  <c r="C935" i="5"/>
  <c r="B935" i="5"/>
  <c r="E934" i="5"/>
  <c r="F934" i="5" s="1"/>
  <c r="D934" i="5"/>
  <c r="C934" i="5"/>
  <c r="B934" i="5"/>
  <c r="E916" i="5"/>
  <c r="F916" i="5"/>
  <c r="C916" i="5"/>
  <c r="B916" i="5"/>
  <c r="E915" i="5"/>
  <c r="F915" i="5" s="1"/>
  <c r="C915" i="5"/>
  <c r="B915" i="5"/>
  <c r="E914" i="5"/>
  <c r="F914" i="5" s="1"/>
  <c r="C914" i="5"/>
  <c r="B914" i="5"/>
  <c r="E913" i="5"/>
  <c r="F913" i="5"/>
  <c r="C913" i="5"/>
  <c r="B913" i="5"/>
  <c r="E912" i="5"/>
  <c r="F912" i="5" s="1"/>
  <c r="G917" i="5" s="1"/>
  <c r="C912" i="5"/>
  <c r="B912" i="5"/>
  <c r="E891" i="5"/>
  <c r="F891" i="5" s="1"/>
  <c r="C891" i="5"/>
  <c r="B891" i="5"/>
  <c r="H890" i="5"/>
  <c r="E890" i="5"/>
  <c r="F890" i="5" s="1"/>
  <c r="G894" i="5" s="1"/>
  <c r="C890" i="5"/>
  <c r="B890" i="5"/>
  <c r="E872" i="5"/>
  <c r="F872" i="5" s="1"/>
  <c r="C872" i="5"/>
  <c r="B872" i="5"/>
  <c r="E871" i="5"/>
  <c r="F871" i="5"/>
  <c r="C871" i="5"/>
  <c r="B871" i="5"/>
  <c r="E870" i="5"/>
  <c r="F870" i="5"/>
  <c r="C870" i="5"/>
  <c r="B870" i="5"/>
  <c r="E869" i="5"/>
  <c r="F869" i="5" s="1"/>
  <c r="C869" i="5"/>
  <c r="B869" i="5"/>
  <c r="E868" i="5"/>
  <c r="F868" i="5"/>
  <c r="C868" i="5"/>
  <c r="B868" i="5"/>
  <c r="E850" i="5"/>
  <c r="F850" i="5" s="1"/>
  <c r="C850" i="5"/>
  <c r="B850" i="5"/>
  <c r="E849" i="5"/>
  <c r="F849" i="5" s="1"/>
  <c r="C849" i="5"/>
  <c r="B849" i="5"/>
  <c r="E848" i="5"/>
  <c r="F848" i="5"/>
  <c r="C848" i="5"/>
  <c r="B848" i="5"/>
  <c r="E847" i="5"/>
  <c r="F847" i="5"/>
  <c r="C847" i="5"/>
  <c r="B847" i="5"/>
  <c r="E846" i="5"/>
  <c r="D846" i="5"/>
  <c r="C846" i="5"/>
  <c r="B846" i="5"/>
  <c r="E827" i="5"/>
  <c r="F827" i="5"/>
  <c r="C827" i="5"/>
  <c r="B827" i="5"/>
  <c r="E826" i="5"/>
  <c r="F826" i="5"/>
  <c r="C826" i="5"/>
  <c r="B826" i="5"/>
  <c r="E825" i="5"/>
  <c r="F825" i="5" s="1"/>
  <c r="C825" i="5"/>
  <c r="B825" i="5"/>
  <c r="E824" i="5"/>
  <c r="F824" i="5"/>
  <c r="C824" i="5"/>
  <c r="B824" i="5"/>
  <c r="E823" i="5"/>
  <c r="F823" i="5"/>
  <c r="C823" i="5"/>
  <c r="B823" i="5"/>
  <c r="E822" i="5"/>
  <c r="F822" i="5" s="1"/>
  <c r="C822" i="5"/>
  <c r="B822" i="5"/>
  <c r="E804" i="5"/>
  <c r="D804" i="5"/>
  <c r="C804" i="5"/>
  <c r="B804" i="5"/>
  <c r="E803" i="5"/>
  <c r="F803" i="5" s="1"/>
  <c r="D803" i="5"/>
  <c r="C803" i="5"/>
  <c r="B803" i="5"/>
  <c r="E802" i="5"/>
  <c r="F802" i="5" s="1"/>
  <c r="D802" i="5"/>
  <c r="C802" i="5"/>
  <c r="B802" i="5"/>
  <c r="E801" i="5"/>
  <c r="D801" i="5"/>
  <c r="C801" i="5"/>
  <c r="B801" i="5"/>
  <c r="E782" i="5"/>
  <c r="D782" i="5"/>
  <c r="C782" i="5"/>
  <c r="B782" i="5"/>
  <c r="E781" i="5"/>
  <c r="F781" i="5" s="1"/>
  <c r="D781" i="5"/>
  <c r="C781" i="5"/>
  <c r="B781" i="5"/>
  <c r="E780" i="5"/>
  <c r="D780" i="5"/>
  <c r="C780" i="5"/>
  <c r="B780" i="5"/>
  <c r="E779" i="5"/>
  <c r="D779" i="5"/>
  <c r="C779" i="5"/>
  <c r="B779" i="5"/>
  <c r="E760" i="5"/>
  <c r="F760" i="5" s="1"/>
  <c r="D760" i="5"/>
  <c r="C760" i="5"/>
  <c r="B760" i="5"/>
  <c r="E759" i="5"/>
  <c r="E1560" i="5"/>
  <c r="F1560" i="5"/>
  <c r="D759" i="5"/>
  <c r="C759" i="5"/>
  <c r="B759" i="5"/>
  <c r="E758" i="5"/>
  <c r="D758" i="5"/>
  <c r="F758" i="5" s="1"/>
  <c r="C758" i="5"/>
  <c r="B758" i="5"/>
  <c r="E757" i="5"/>
  <c r="D757" i="5"/>
  <c r="C757" i="5"/>
  <c r="B757" i="5"/>
  <c r="E738" i="5"/>
  <c r="F738" i="5" s="1"/>
  <c r="C738" i="5"/>
  <c r="B738" i="5"/>
  <c r="E737" i="5"/>
  <c r="F737" i="5"/>
  <c r="C737" i="5"/>
  <c r="B737" i="5"/>
  <c r="E736" i="5"/>
  <c r="F736" i="5" s="1"/>
  <c r="C736" i="5"/>
  <c r="B736" i="5"/>
  <c r="E735" i="5"/>
  <c r="F735" i="5" s="1"/>
  <c r="G740" i="5" s="1"/>
  <c r="C735" i="5"/>
  <c r="B735" i="5"/>
  <c r="E717" i="5"/>
  <c r="F717" i="5"/>
  <c r="C717" i="5"/>
  <c r="B717" i="5"/>
  <c r="E716" i="5"/>
  <c r="F716" i="5"/>
  <c r="C716" i="5"/>
  <c r="B716" i="5"/>
  <c r="E715" i="5"/>
  <c r="F715" i="5" s="1"/>
  <c r="C715" i="5"/>
  <c r="B715" i="5"/>
  <c r="E697" i="5"/>
  <c r="F697" i="5"/>
  <c r="C697" i="5"/>
  <c r="B697" i="5"/>
  <c r="E696" i="5"/>
  <c r="F696" i="5" s="1"/>
  <c r="C696" i="5"/>
  <c r="B696" i="5"/>
  <c r="E695" i="5"/>
  <c r="F695" i="5" s="1"/>
  <c r="C695" i="5"/>
  <c r="B695" i="5"/>
  <c r="E676" i="5"/>
  <c r="F676" i="5"/>
  <c r="C676" i="5"/>
  <c r="B676" i="5"/>
  <c r="E675" i="5"/>
  <c r="F675" i="5"/>
  <c r="C675" i="5"/>
  <c r="B675" i="5"/>
  <c r="E674" i="5"/>
  <c r="F674" i="5" s="1"/>
  <c r="C674" i="5"/>
  <c r="B674" i="5"/>
  <c r="E655" i="5"/>
  <c r="F655" i="5"/>
  <c r="C655" i="5"/>
  <c r="B655" i="5"/>
  <c r="E654" i="5"/>
  <c r="F654" i="5"/>
  <c r="C654" i="5"/>
  <c r="B654" i="5"/>
  <c r="E653" i="5"/>
  <c r="F653" i="5" s="1"/>
  <c r="G657" i="5" s="1"/>
  <c r="C653" i="5"/>
  <c r="B653" i="5"/>
  <c r="E634" i="5"/>
  <c r="F634" i="5"/>
  <c r="C634" i="5"/>
  <c r="B634" i="5"/>
  <c r="E633" i="5"/>
  <c r="F633" i="5" s="1"/>
  <c r="C633" i="5"/>
  <c r="B633" i="5"/>
  <c r="E632" i="5"/>
  <c r="F632" i="5" s="1"/>
  <c r="C632" i="5"/>
  <c r="B632" i="5"/>
  <c r="E613" i="5"/>
  <c r="F613" i="5"/>
  <c r="C613" i="5"/>
  <c r="B613" i="5"/>
  <c r="E612" i="5"/>
  <c r="F612" i="5"/>
  <c r="C612" i="5"/>
  <c r="B612" i="5"/>
  <c r="E611" i="5"/>
  <c r="F611" i="5" s="1"/>
  <c r="C611" i="5"/>
  <c r="B611" i="5"/>
  <c r="E610" i="5"/>
  <c r="F610" i="5"/>
  <c r="C610" i="5"/>
  <c r="B610" i="5"/>
  <c r="E592" i="5"/>
  <c r="F592" i="5" s="1"/>
  <c r="C592" i="5"/>
  <c r="B592" i="5"/>
  <c r="E591" i="5"/>
  <c r="F591" i="5" s="1"/>
  <c r="C591" i="5"/>
  <c r="B591" i="5"/>
  <c r="E590" i="5"/>
  <c r="F590" i="5"/>
  <c r="C590" i="5"/>
  <c r="B590" i="5"/>
  <c r="E589" i="5"/>
  <c r="F589" i="5" s="1"/>
  <c r="G593" i="5" s="1"/>
  <c r="C589" i="5"/>
  <c r="B589" i="5"/>
  <c r="E570" i="5"/>
  <c r="F570" i="5" s="1"/>
  <c r="C570" i="5"/>
  <c r="B570" i="5"/>
  <c r="E569" i="5"/>
  <c r="F569" i="5"/>
  <c r="C569" i="5"/>
  <c r="B569" i="5"/>
  <c r="E568" i="5"/>
  <c r="D568" i="5"/>
  <c r="F568" i="5" s="1"/>
  <c r="C568" i="5"/>
  <c r="B568" i="5"/>
  <c r="E567" i="5"/>
  <c r="D567" i="5"/>
  <c r="C567" i="5"/>
  <c r="B567" i="5"/>
  <c r="E548" i="5"/>
  <c r="D548" i="5"/>
  <c r="F548" i="5" s="1"/>
  <c r="C548" i="5"/>
  <c r="B548" i="5"/>
  <c r="E547" i="5"/>
  <c r="F547" i="5"/>
  <c r="C547" i="5"/>
  <c r="B547" i="5"/>
  <c r="E546" i="5"/>
  <c r="F546" i="5" s="1"/>
  <c r="G549" i="5" s="1"/>
  <c r="D546" i="5"/>
  <c r="C546" i="5"/>
  <c r="B546" i="5"/>
  <c r="E528" i="5"/>
  <c r="F528" i="5"/>
  <c r="C528" i="5"/>
  <c r="B528" i="5"/>
  <c r="E527" i="5"/>
  <c r="D527" i="5"/>
  <c r="F527" i="5" s="1"/>
  <c r="C527" i="5"/>
  <c r="B527" i="5"/>
  <c r="E526" i="5"/>
  <c r="F526" i="5" s="1"/>
  <c r="C526" i="5"/>
  <c r="B526" i="5"/>
  <c r="E508" i="5"/>
  <c r="F508" i="5"/>
  <c r="C508" i="5"/>
  <c r="B508" i="5"/>
  <c r="E507" i="5"/>
  <c r="F507" i="5"/>
  <c r="G509" i="5" s="1"/>
  <c r="C507" i="5"/>
  <c r="B507" i="5"/>
  <c r="E489" i="5"/>
  <c r="F489" i="5" s="1"/>
  <c r="C489" i="5"/>
  <c r="B489" i="5"/>
  <c r="E488" i="5"/>
  <c r="D488" i="5"/>
  <c r="C488" i="5"/>
  <c r="B488" i="5"/>
  <c r="E487" i="5"/>
  <c r="F487" i="5" s="1"/>
  <c r="G490" i="5" s="1"/>
  <c r="C487" i="5"/>
  <c r="B487" i="5"/>
  <c r="E469" i="5"/>
  <c r="F469" i="5" s="1"/>
  <c r="C469" i="5"/>
  <c r="B469" i="5"/>
  <c r="J468" i="5"/>
  <c r="E468" i="5"/>
  <c r="F468" i="5"/>
  <c r="C468" i="5"/>
  <c r="B468" i="5"/>
  <c r="J467" i="5"/>
  <c r="E467" i="5"/>
  <c r="F467" i="5"/>
  <c r="C467" i="5"/>
  <c r="B467" i="5"/>
  <c r="E466" i="5"/>
  <c r="F466" i="5"/>
  <c r="C466" i="5"/>
  <c r="B466" i="5"/>
  <c r="E448" i="5"/>
  <c r="F448" i="5" s="1"/>
  <c r="C448" i="5"/>
  <c r="B448" i="5"/>
  <c r="F447" i="5"/>
  <c r="C447" i="5"/>
  <c r="B447" i="5"/>
  <c r="E446" i="5"/>
  <c r="F446" i="5" s="1"/>
  <c r="C446" i="5"/>
  <c r="B446" i="5"/>
  <c r="E445" i="5"/>
  <c r="F445" i="5" s="1"/>
  <c r="C445" i="5"/>
  <c r="B445" i="5"/>
  <c r="F427" i="5"/>
  <c r="E426" i="5"/>
  <c r="F426" i="5"/>
  <c r="C426" i="5"/>
  <c r="B426" i="5"/>
  <c r="E425" i="5"/>
  <c r="F425" i="5" s="1"/>
  <c r="C425" i="5"/>
  <c r="B425" i="5"/>
  <c r="E424" i="5"/>
  <c r="F424" i="5"/>
  <c r="G428" i="5" s="1"/>
  <c r="C424" i="5"/>
  <c r="B424" i="5"/>
  <c r="E406" i="5"/>
  <c r="F406" i="5"/>
  <c r="C406" i="5"/>
  <c r="B406" i="5"/>
  <c r="E405" i="5"/>
  <c r="F405" i="5" s="1"/>
  <c r="C405" i="5"/>
  <c r="B405" i="5"/>
  <c r="E404" i="5"/>
  <c r="F404" i="5"/>
  <c r="C404" i="5"/>
  <c r="B404" i="5"/>
  <c r="E403" i="5"/>
  <c r="F403" i="5"/>
  <c r="C403" i="5"/>
  <c r="B403" i="5"/>
  <c r="E385" i="5"/>
  <c r="F385" i="5" s="1"/>
  <c r="C385" i="5"/>
  <c r="B385" i="5"/>
  <c r="E384" i="5"/>
  <c r="F384" i="5"/>
  <c r="C384" i="5"/>
  <c r="B384" i="5"/>
  <c r="E383" i="5"/>
  <c r="F383" i="5"/>
  <c r="C383" i="5"/>
  <c r="B383" i="5"/>
  <c r="E382" i="5"/>
  <c r="F382" i="5" s="1"/>
  <c r="C382" i="5"/>
  <c r="B382" i="5"/>
  <c r="E364" i="5"/>
  <c r="F364" i="5"/>
  <c r="C364" i="5"/>
  <c r="B364" i="5"/>
  <c r="K363" i="5"/>
  <c r="K364" i="5"/>
  <c r="L364" i="5" s="1"/>
  <c r="E363" i="5"/>
  <c r="F363" i="5"/>
  <c r="C363" i="5"/>
  <c r="B363" i="5"/>
  <c r="E362" i="5"/>
  <c r="F362" i="5" s="1"/>
  <c r="C362" i="5"/>
  <c r="B362" i="5"/>
  <c r="E361" i="5"/>
  <c r="F361" i="5"/>
  <c r="C361" i="5"/>
  <c r="B361" i="5"/>
  <c r="E360" i="5"/>
  <c r="F360" i="5" s="1"/>
  <c r="C360" i="5"/>
  <c r="B360" i="5"/>
  <c r="E342" i="5"/>
  <c r="F342" i="5" s="1"/>
  <c r="C342" i="5"/>
  <c r="B342" i="5"/>
  <c r="E341" i="5"/>
  <c r="F341" i="5"/>
  <c r="C341" i="5"/>
  <c r="B341" i="5"/>
  <c r="E340" i="5"/>
  <c r="F340" i="5"/>
  <c r="G343" i="5" s="1"/>
  <c r="C340" i="5"/>
  <c r="B340" i="5"/>
  <c r="E339" i="5"/>
  <c r="F339" i="5" s="1"/>
  <c r="C339" i="5"/>
  <c r="B339" i="5"/>
  <c r="F330" i="5"/>
  <c r="E320" i="5"/>
  <c r="F320" i="5"/>
  <c r="C320" i="5"/>
  <c r="B320" i="5"/>
  <c r="E319" i="5"/>
  <c r="F319" i="5" s="1"/>
  <c r="C319" i="5"/>
  <c r="B319" i="5"/>
  <c r="E318" i="5"/>
  <c r="F318" i="5"/>
  <c r="C318" i="5"/>
  <c r="B318" i="5"/>
  <c r="E317" i="5"/>
  <c r="F317" i="5"/>
  <c r="C317" i="5"/>
  <c r="B317" i="5"/>
  <c r="E299" i="5"/>
  <c r="F299" i="5" s="1"/>
  <c r="C299" i="5"/>
  <c r="B299" i="5"/>
  <c r="E298" i="5"/>
  <c r="D298" i="5"/>
  <c r="C298" i="5"/>
  <c r="B298" i="5"/>
  <c r="E280" i="5"/>
  <c r="F280" i="5"/>
  <c r="C280" i="5"/>
  <c r="B280" i="5"/>
  <c r="E279" i="5"/>
  <c r="F279" i="5" s="1"/>
  <c r="C279" i="5"/>
  <c r="B279" i="5"/>
  <c r="E278" i="5"/>
  <c r="F278" i="5"/>
  <c r="C278" i="5"/>
  <c r="B278" i="5"/>
  <c r="E277" i="5"/>
  <c r="F277" i="5"/>
  <c r="C277" i="5"/>
  <c r="B277" i="5"/>
  <c r="E276" i="5"/>
  <c r="F276" i="5" s="1"/>
  <c r="C276" i="5"/>
  <c r="B276" i="5"/>
  <c r="E275" i="5"/>
  <c r="F275" i="5"/>
  <c r="G281" i="5" s="1"/>
  <c r="C275" i="5"/>
  <c r="B275" i="5"/>
  <c r="E257" i="5"/>
  <c r="F257" i="5"/>
  <c r="C257" i="5"/>
  <c r="B257" i="5"/>
  <c r="E256" i="5"/>
  <c r="F256" i="5" s="1"/>
  <c r="C256" i="5"/>
  <c r="B256" i="5"/>
  <c r="E255" i="5"/>
  <c r="F255" i="5"/>
  <c r="C255" i="5"/>
  <c r="B255" i="5"/>
  <c r="E254" i="5"/>
  <c r="F254" i="5"/>
  <c r="C254" i="5"/>
  <c r="B254" i="5"/>
  <c r="E253" i="5"/>
  <c r="F253" i="5" s="1"/>
  <c r="C253" i="5"/>
  <c r="B253" i="5"/>
  <c r="E252" i="5"/>
  <c r="F252" i="5"/>
  <c r="C252" i="5"/>
  <c r="B252" i="5"/>
  <c r="E234" i="5"/>
  <c r="F234" i="5"/>
  <c r="C234" i="5"/>
  <c r="B234" i="5"/>
  <c r="E233" i="5"/>
  <c r="F233" i="5" s="1"/>
  <c r="C233" i="5"/>
  <c r="B233" i="5"/>
  <c r="E232" i="5"/>
  <c r="F232" i="5"/>
  <c r="C232" i="5"/>
  <c r="B232" i="5"/>
  <c r="E231" i="5"/>
  <c r="F231" i="5"/>
  <c r="C231" i="5"/>
  <c r="B231" i="5"/>
  <c r="E230" i="5"/>
  <c r="F230" i="5" s="1"/>
  <c r="C230" i="5"/>
  <c r="B230" i="5"/>
  <c r="G213" i="5"/>
  <c r="G194" i="5"/>
  <c r="F180" i="5"/>
  <c r="G182" i="5" s="1"/>
  <c r="F179" i="5"/>
  <c r="G174" i="5"/>
  <c r="G184" i="5" s="1"/>
  <c r="F161" i="5"/>
  <c r="F160" i="5"/>
  <c r="G162" i="5" s="1"/>
  <c r="F153" i="5"/>
  <c r="G155" i="5" s="1"/>
  <c r="G164" i="5" s="1"/>
  <c r="E135" i="5"/>
  <c r="F135" i="5" s="1"/>
  <c r="C135" i="5"/>
  <c r="B135" i="5"/>
  <c r="E134" i="5"/>
  <c r="F134" i="5" s="1"/>
  <c r="G136" i="5" s="1"/>
  <c r="C134" i="5"/>
  <c r="B134" i="5"/>
  <c r="F114" i="5"/>
  <c r="F113" i="5"/>
  <c r="F112" i="5"/>
  <c r="G115" i="5" s="1"/>
  <c r="F92" i="5"/>
  <c r="F91" i="5"/>
  <c r="F90" i="5"/>
  <c r="F89" i="5"/>
  <c r="F88" i="5"/>
  <c r="G93" i="5"/>
  <c r="M50" i="5"/>
  <c r="K48" i="5"/>
  <c r="F48" i="5"/>
  <c r="K47" i="5"/>
  <c r="F47" i="5"/>
  <c r="G50" i="5"/>
  <c r="K46" i="5"/>
  <c r="K45" i="5"/>
  <c r="M45" i="5" s="1"/>
  <c r="K44" i="5"/>
  <c r="K43" i="5"/>
  <c r="K42" i="5"/>
  <c r="K41" i="5"/>
  <c r="K40" i="5"/>
  <c r="K39" i="5"/>
  <c r="K38" i="5"/>
  <c r="M38" i="5" s="1"/>
  <c r="K37" i="5"/>
  <c r="E31" i="5"/>
  <c r="F31" i="5" s="1"/>
  <c r="E32" i="5"/>
  <c r="F32" i="5" s="1"/>
  <c r="M29" i="5"/>
  <c r="M15" i="5"/>
  <c r="M16" i="5" s="1"/>
  <c r="E14" i="5"/>
  <c r="F14" i="5" s="1"/>
  <c r="B9" i="4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G1102" i="5"/>
  <c r="G321" i="5"/>
  <c r="F953" i="5"/>
  <c r="G386" i="5"/>
  <c r="G1777" i="5"/>
  <c r="G1831" i="5"/>
  <c r="G1939" i="5"/>
  <c r="F954" i="5"/>
  <c r="F1198" i="5"/>
  <c r="G1202" i="5" s="1"/>
  <c r="F1199" i="5"/>
  <c r="G1696" i="5"/>
  <c r="F1696" i="5" s="1"/>
  <c r="F488" i="5"/>
  <c r="F567" i="5"/>
  <c r="G571" i="5" s="1"/>
  <c r="G1885" i="5"/>
  <c r="F1220" i="5"/>
  <c r="F298" i="5"/>
  <c r="G300" i="5" s="1"/>
  <c r="F759" i="5"/>
  <c r="F779" i="5"/>
  <c r="F780" i="5"/>
  <c r="F801" i="5"/>
  <c r="G805" i="5" s="1"/>
  <c r="F804" i="5"/>
  <c r="G873" i="5"/>
  <c r="F846" i="5"/>
  <c r="F956" i="5"/>
  <c r="F957" i="5"/>
  <c r="G1120" i="5"/>
  <c r="G1471" i="5"/>
  <c r="E15" i="5"/>
  <c r="F15" i="5"/>
  <c r="M42" i="5"/>
  <c r="M47" i="5"/>
  <c r="M17" i="5"/>
  <c r="M18" i="5"/>
  <c r="M20" i="5"/>
  <c r="M27" i="5"/>
  <c r="L35" i="5"/>
  <c r="M41" i="5"/>
  <c r="G232" i="5"/>
  <c r="G529" i="5"/>
  <c r="G1430" i="5"/>
  <c r="F1584" i="5"/>
  <c r="E1675" i="5"/>
  <c r="F1675" i="5" s="1"/>
  <c r="E1677" i="5" s="1"/>
  <c r="F1677" i="5" s="1"/>
  <c r="G1678" i="5"/>
  <c r="F1678" i="5" s="1"/>
  <c r="J64" i="2"/>
  <c r="G449" i="5" l="1"/>
  <c r="G258" i="5"/>
  <c r="G784" i="5"/>
  <c r="G407" i="5"/>
  <c r="G1081" i="5"/>
  <c r="L36" i="5"/>
  <c r="L37" i="5" s="1"/>
  <c r="M26" i="5"/>
  <c r="M19" i="5"/>
  <c r="M23" i="5"/>
  <c r="M22" i="5"/>
  <c r="M24" i="5"/>
  <c r="M25" i="5"/>
  <c r="M21" i="5"/>
  <c r="M28" i="5" s="1"/>
  <c r="M30" i="5" s="1"/>
  <c r="G365" i="5"/>
  <c r="G1019" i="5"/>
  <c r="F33" i="5"/>
  <c r="G828" i="5"/>
  <c r="G936" i="5"/>
  <c r="G678" i="5"/>
  <c r="G718" i="5"/>
  <c r="M179" i="5"/>
  <c r="G851" i="5"/>
  <c r="L14" i="5"/>
  <c r="F16" i="5"/>
  <c r="G235" i="5"/>
  <c r="G614" i="5"/>
  <c r="G698" i="5"/>
  <c r="F757" i="5"/>
  <c r="G762" i="5" s="1"/>
  <c r="M178" i="5"/>
  <c r="G1041" i="5"/>
  <c r="M177" i="5"/>
  <c r="M40" i="5"/>
  <c r="M43" i="5"/>
  <c r="M46" i="5"/>
  <c r="K123" i="6"/>
  <c r="F41" i="2" s="1"/>
  <c r="F38" i="2"/>
  <c r="F1587" i="5"/>
  <c r="M39" i="5"/>
  <c r="M44" i="5"/>
  <c r="G636" i="5"/>
  <c r="M176" i="5"/>
  <c r="F31" i="2"/>
  <c r="K127" i="6"/>
  <c r="L126" i="6" s="1"/>
  <c r="F47" i="2" s="1"/>
  <c r="L76" i="6"/>
  <c r="F33" i="2" s="1"/>
  <c r="F782" i="5"/>
  <c r="G470" i="5"/>
  <c r="K25" i="6"/>
  <c r="F17" i="2" s="1"/>
  <c r="F13" i="2"/>
  <c r="F955" i="5"/>
  <c r="G958" i="5" s="1"/>
  <c r="G1494" i="5"/>
  <c r="F37" i="2"/>
  <c r="K122" i="6"/>
  <c r="F23" i="2"/>
  <c r="F14" i="2"/>
  <c r="L47" i="5" l="1"/>
  <c r="L178" i="5"/>
  <c r="L39" i="5"/>
  <c r="L180" i="5"/>
  <c r="L179" i="5"/>
  <c r="L177" i="5"/>
  <c r="L48" i="5"/>
  <c r="L44" i="5"/>
  <c r="L46" i="5"/>
  <c r="L40" i="5"/>
  <c r="L43" i="5"/>
  <c r="L45" i="5"/>
  <c r="L176" i="5"/>
  <c r="L42" i="5"/>
  <c r="L38" i="5"/>
  <c r="L49" i="5" s="1"/>
  <c r="L41" i="5"/>
  <c r="M181" i="5"/>
  <c r="M49" i="5"/>
  <c r="L24" i="6"/>
  <c r="E34" i="5"/>
  <c r="L15" i="5"/>
  <c r="L16" i="5"/>
  <c r="E17" i="5"/>
  <c r="F40" i="2"/>
  <c r="L121" i="6"/>
  <c r="L50" i="5" l="1"/>
  <c r="M183" i="5"/>
  <c r="N182" i="5"/>
  <c r="L27" i="5"/>
  <c r="L24" i="5"/>
  <c r="L20" i="5"/>
  <c r="L17" i="5"/>
  <c r="L28" i="5" s="1"/>
  <c r="L25" i="5"/>
  <c r="L22" i="5"/>
  <c r="L21" i="5"/>
  <c r="L19" i="5"/>
  <c r="L18" i="5"/>
  <c r="L26" i="5"/>
  <c r="L23" i="5"/>
  <c r="M51" i="5"/>
  <c r="N51" i="5" s="1"/>
  <c r="N50" i="5"/>
  <c r="E35" i="5"/>
  <c r="F34" i="5"/>
  <c r="E18" i="5"/>
  <c r="F17" i="5"/>
  <c r="L181" i="5"/>
  <c r="L29" i="5" l="1"/>
  <c r="N30" i="5"/>
  <c r="N183" i="5"/>
  <c r="L182" i="5"/>
  <c r="F18" i="5"/>
  <c r="F21" i="5" s="1"/>
  <c r="F22" i="5" s="1"/>
  <c r="E19" i="5"/>
  <c r="F19" i="5" s="1"/>
  <c r="E36" i="5"/>
  <c r="F36" i="5" s="1"/>
  <c r="F35" i="5"/>
  <c r="F38" i="5" s="1"/>
  <c r="F39" i="5" s="1"/>
  <c r="E1373" i="5" l="1"/>
  <c r="F1373" i="5" s="1"/>
  <c r="E1230" i="5"/>
  <c r="F1230" i="5" s="1"/>
  <c r="E684" i="5"/>
  <c r="F684" i="5" s="1"/>
  <c r="E1930" i="5"/>
  <c r="F1930" i="5" s="1"/>
  <c r="E123" i="5"/>
  <c r="F123" i="5" s="1"/>
  <c r="E349" i="5"/>
  <c r="F349" i="5" s="1"/>
  <c r="E599" i="5"/>
  <c r="F599" i="5" s="1"/>
  <c r="E1144" i="5"/>
  <c r="F1144" i="5" s="1"/>
  <c r="E1548" i="5"/>
  <c r="E1249" i="5"/>
  <c r="F1249" i="5" s="1"/>
  <c r="E219" i="5"/>
  <c r="F219" i="5" s="1"/>
  <c r="E768" i="5"/>
  <c r="F768" i="5" s="1"/>
  <c r="E1268" i="5"/>
  <c r="F1268" i="5" s="1"/>
  <c r="E1086" i="5"/>
  <c r="F1086" i="5" s="1"/>
  <c r="E306" i="5"/>
  <c r="F306" i="5" s="1"/>
  <c r="E327" i="5"/>
  <c r="F327" i="5" s="1"/>
  <c r="E811" i="5"/>
  <c r="F811" i="5" s="1"/>
  <c r="E790" i="5"/>
  <c r="F790" i="5" s="1"/>
  <c r="E496" i="5"/>
  <c r="F496" i="5" s="1"/>
  <c r="E1701" i="5"/>
  <c r="F1701" i="5" s="1"/>
  <c r="E577" i="5"/>
  <c r="F577" i="5" s="1"/>
  <c r="E1683" i="5"/>
  <c r="F1683" i="5" s="1"/>
  <c r="E1622" i="5"/>
  <c r="F1622" i="5" s="1"/>
  <c r="E1822" i="5"/>
  <c r="F1822" i="5" s="1"/>
  <c r="E1603" i="5"/>
  <c r="F1603" i="5" s="1"/>
  <c r="E56" i="5"/>
  <c r="F56" i="5" s="1"/>
  <c r="E723" i="5"/>
  <c r="F723" i="5" s="1"/>
  <c r="E1026" i="5"/>
  <c r="F1026" i="5" s="1"/>
  <c r="E1046" i="5"/>
  <c r="F1046" i="5" s="1"/>
  <c r="E1458" i="5"/>
  <c r="F1458" i="5" s="1"/>
  <c r="E1849" i="5"/>
  <c r="F1849" i="5" s="1"/>
  <c r="E1643" i="5"/>
  <c r="F1643" i="5" s="1"/>
  <c r="E1066" i="5"/>
  <c r="F1066" i="5" s="1"/>
  <c r="E200" i="5"/>
  <c r="F200" i="5" s="1"/>
  <c r="E1768" i="5"/>
  <c r="F1768" i="5" s="1"/>
  <c r="E455" i="5"/>
  <c r="F455" i="5" s="1"/>
  <c r="E1002" i="5"/>
  <c r="F1002" i="5" s="1"/>
  <c r="E413" i="5"/>
  <c r="F413" i="5" s="1"/>
  <c r="E1664" i="5"/>
  <c r="F1664" i="5" s="1"/>
  <c r="E535" i="5"/>
  <c r="F535" i="5" s="1"/>
  <c r="E434" i="5"/>
  <c r="F434" i="5" s="1"/>
  <c r="E1348" i="5"/>
  <c r="F1348" i="5" s="1"/>
  <c r="E476" i="5"/>
  <c r="F476" i="5" s="1"/>
  <c r="E663" i="5"/>
  <c r="F663" i="5" s="1"/>
  <c r="E1326" i="5"/>
  <c r="F1326" i="5" s="1"/>
  <c r="E1208" i="5"/>
  <c r="F1208" i="5" s="1"/>
  <c r="E1526" i="5"/>
  <c r="F1526" i="5" s="1"/>
  <c r="E555" i="5"/>
  <c r="F555" i="5" s="1"/>
  <c r="E834" i="5"/>
  <c r="F834" i="5" s="1"/>
  <c r="E1307" i="5"/>
  <c r="F1307" i="5" s="1"/>
  <c r="E1741" i="5"/>
  <c r="F1741" i="5" s="1"/>
  <c r="E371" i="5"/>
  <c r="F371" i="5" s="1"/>
  <c r="E1590" i="5"/>
  <c r="F1590" i="5" s="1"/>
  <c r="E76" i="5"/>
  <c r="F76" i="5" s="1"/>
  <c r="E1476" i="5"/>
  <c r="F1476" i="5" s="1"/>
  <c r="E241" i="5"/>
  <c r="F241" i="5" s="1"/>
  <c r="E1721" i="5"/>
  <c r="F1721" i="5" s="1"/>
  <c r="E746" i="5"/>
  <c r="F746" i="5" s="1"/>
  <c r="E1795" i="5"/>
  <c r="F1795" i="5" s="1"/>
  <c r="E620" i="5"/>
  <c r="F620" i="5" s="1"/>
  <c r="E101" i="5"/>
  <c r="F101" i="5" s="1"/>
  <c r="E142" i="5"/>
  <c r="F142" i="5" s="1"/>
  <c r="E923" i="5"/>
  <c r="F923" i="5" s="1"/>
  <c r="E1187" i="5"/>
  <c r="F1187" i="5" s="1"/>
  <c r="E983" i="5"/>
  <c r="F983" i="5" s="1"/>
  <c r="E264" i="5"/>
  <c r="F264" i="5" s="1"/>
  <c r="E1567" i="5"/>
  <c r="F1567" i="5" s="1"/>
  <c r="E1903" i="5"/>
  <c r="F1903" i="5" s="1"/>
  <c r="E964" i="5"/>
  <c r="F964" i="5" s="1"/>
  <c r="E942" i="5"/>
  <c r="F942" i="5" s="1"/>
  <c r="E287" i="5"/>
  <c r="F287" i="5" s="1"/>
  <c r="E1107" i="5"/>
  <c r="F1107" i="5" s="1"/>
  <c r="E1396" i="5"/>
  <c r="F1396" i="5" s="1"/>
  <c r="E1289" i="5"/>
  <c r="F1289" i="5" s="1"/>
  <c r="E392" i="5"/>
  <c r="F392" i="5" s="1"/>
  <c r="E879" i="5"/>
  <c r="F879" i="5" s="1"/>
  <c r="E1876" i="5"/>
  <c r="F1876" i="5" s="1"/>
  <c r="E857" i="5"/>
  <c r="F857" i="5" s="1"/>
  <c r="E1125" i="5"/>
  <c r="F1125" i="5" s="1"/>
  <c r="E1163" i="5"/>
  <c r="F1163" i="5" s="1"/>
  <c r="E900" i="5"/>
  <c r="F900" i="5" s="1"/>
  <c r="E1500" i="5"/>
  <c r="F1500" i="5" s="1"/>
  <c r="E704" i="5"/>
  <c r="F704" i="5" s="1"/>
  <c r="E642" i="5"/>
  <c r="F642" i="5" s="1"/>
  <c r="E515" i="5"/>
  <c r="F515" i="5" s="1"/>
  <c r="E1875" i="5"/>
  <c r="F1875" i="5" s="1"/>
  <c r="E1207" i="5"/>
  <c r="F1207" i="5" s="1"/>
  <c r="E899" i="5"/>
  <c r="F899" i="5" s="1"/>
  <c r="G901" i="5" s="1"/>
  <c r="G903" i="5" s="1"/>
  <c r="E412" i="5"/>
  <c r="F412" i="5" s="1"/>
  <c r="G414" i="5" s="1"/>
  <c r="G416" i="5" s="1"/>
  <c r="E55" i="5"/>
  <c r="F55" i="5" s="1"/>
  <c r="G57" i="5" s="1"/>
  <c r="G59" i="5" s="1"/>
  <c r="E286" i="5"/>
  <c r="F286" i="5" s="1"/>
  <c r="E1306" i="5"/>
  <c r="F1306" i="5" s="1"/>
  <c r="G1308" i="5" s="1"/>
  <c r="G1310" i="5" s="1"/>
  <c r="E100" i="5"/>
  <c r="F100" i="5" s="1"/>
  <c r="E326" i="5"/>
  <c r="F326" i="5" s="1"/>
  <c r="G328" i="5" s="1"/>
  <c r="G330" i="5" s="1"/>
  <c r="G25" i="2" s="1"/>
  <c r="H25" i="2" s="1"/>
  <c r="E495" i="5"/>
  <c r="F495" i="5" s="1"/>
  <c r="G497" i="5" s="1"/>
  <c r="G499" i="5" s="1"/>
  <c r="E1566" i="5"/>
  <c r="F1566" i="5" s="1"/>
  <c r="G1568" i="5" s="1"/>
  <c r="E1740" i="5"/>
  <c r="F1740" i="5" s="1"/>
  <c r="E1372" i="5"/>
  <c r="F1372" i="5" s="1"/>
  <c r="G1374" i="5" s="1"/>
  <c r="G1376" i="5" s="1"/>
  <c r="E514" i="5"/>
  <c r="F514" i="5" s="1"/>
  <c r="G516" i="5" s="1"/>
  <c r="G518" i="5" s="1"/>
  <c r="E1498" i="5"/>
  <c r="F1498" i="5" s="1"/>
  <c r="E1106" i="5"/>
  <c r="F1106" i="5" s="1"/>
  <c r="E263" i="5"/>
  <c r="F263" i="5" s="1"/>
  <c r="G265" i="5" s="1"/>
  <c r="G267" i="5" s="1"/>
  <c r="G21" i="2" s="1"/>
  <c r="H21" i="2" s="1"/>
  <c r="E120" i="5"/>
  <c r="F120" i="5" s="1"/>
  <c r="E703" i="5"/>
  <c r="F703" i="5" s="1"/>
  <c r="E1395" i="5"/>
  <c r="F1395" i="5" s="1"/>
  <c r="G1397" i="5" s="1"/>
  <c r="G1399" i="5" s="1"/>
  <c r="E745" i="5"/>
  <c r="F745" i="5" s="1"/>
  <c r="G747" i="5" s="1"/>
  <c r="G749" i="5" s="1"/>
  <c r="E99" i="5"/>
  <c r="F99" i="5" s="1"/>
  <c r="E348" i="5"/>
  <c r="F348" i="5" s="1"/>
  <c r="G350" i="5" s="1"/>
  <c r="G352" i="5" s="1"/>
  <c r="E1024" i="5"/>
  <c r="E1124" i="5"/>
  <c r="F1124" i="5" s="1"/>
  <c r="E98" i="5"/>
  <c r="F98" i="5" s="1"/>
  <c r="E454" i="5"/>
  <c r="F454" i="5" s="1"/>
  <c r="E1143" i="5"/>
  <c r="F1143" i="5" s="1"/>
  <c r="G1145" i="5" s="1"/>
  <c r="G1147" i="5" s="1"/>
  <c r="E1435" i="5"/>
  <c r="F1435" i="5" s="1"/>
  <c r="G1437" i="5" s="1"/>
  <c r="G1439" i="5" s="1"/>
  <c r="E1602" i="5"/>
  <c r="F1602" i="5" s="1"/>
  <c r="G1604" i="5" s="1"/>
  <c r="E75" i="5"/>
  <c r="F75" i="5" s="1"/>
  <c r="G77" i="5" s="1"/>
  <c r="G79" i="5" s="1"/>
  <c r="G81" i="5" s="1"/>
  <c r="E475" i="5"/>
  <c r="F475" i="5" s="1"/>
  <c r="E1085" i="5"/>
  <c r="F1085" i="5" s="1"/>
  <c r="G1087" i="5" s="1"/>
  <c r="G1089" i="5" s="1"/>
  <c r="G40" i="2" s="1"/>
  <c r="H40" i="2" s="1"/>
  <c r="E1045" i="5"/>
  <c r="F1045" i="5" s="1"/>
  <c r="G1047" i="5" s="1"/>
  <c r="G1049" i="5" s="1"/>
  <c r="E391" i="5"/>
  <c r="F391" i="5" s="1"/>
  <c r="G393" i="5" s="1"/>
  <c r="G395" i="5" s="1"/>
  <c r="E1186" i="5"/>
  <c r="F1186" i="5" s="1"/>
  <c r="E1457" i="5"/>
  <c r="F1457" i="5" s="1"/>
  <c r="G1459" i="5" s="1"/>
  <c r="E1267" i="5"/>
  <c r="F1267" i="5" s="1"/>
  <c r="G1269" i="5" s="1"/>
  <c r="G1271" i="5" s="1"/>
  <c r="E922" i="5"/>
  <c r="F922" i="5" s="1"/>
  <c r="G924" i="5" s="1"/>
  <c r="G926" i="5" s="1"/>
  <c r="G35" i="2" s="1"/>
  <c r="H35" i="2" s="1"/>
  <c r="I34" i="2" s="1"/>
  <c r="E121" i="5"/>
  <c r="F121" i="5" s="1"/>
  <c r="E598" i="5"/>
  <c r="F598" i="5" s="1"/>
  <c r="E1767" i="5"/>
  <c r="F1767" i="5" s="1"/>
  <c r="E1547" i="5"/>
  <c r="F1547" i="5" s="1"/>
  <c r="E833" i="5"/>
  <c r="F833" i="5" s="1"/>
  <c r="G836" i="5" s="1"/>
  <c r="G838" i="5" s="1"/>
  <c r="G33" i="2" s="1"/>
  <c r="H33" i="2" s="1"/>
  <c r="I32" i="2" s="1"/>
  <c r="E1475" i="5"/>
  <c r="F1475" i="5" s="1"/>
  <c r="G1477" i="5" s="1"/>
  <c r="G1479" i="5" s="1"/>
  <c r="E1229" i="5"/>
  <c r="F1229" i="5" s="1"/>
  <c r="G1231" i="5" s="1"/>
  <c r="G1233" i="5" s="1"/>
  <c r="E810" i="5"/>
  <c r="F810" i="5" s="1"/>
  <c r="G812" i="5" s="1"/>
  <c r="G814" i="5" s="1"/>
  <c r="E941" i="5"/>
  <c r="F941" i="5" s="1"/>
  <c r="E1794" i="5"/>
  <c r="F1794" i="5" s="1"/>
  <c r="E240" i="5"/>
  <c r="F240" i="5" s="1"/>
  <c r="G242" i="5" s="1"/>
  <c r="G244" i="5" s="1"/>
  <c r="E199" i="5"/>
  <c r="F199" i="5" s="1"/>
  <c r="E789" i="5"/>
  <c r="F789" i="5" s="1"/>
  <c r="G791" i="5" s="1"/>
  <c r="G793" i="5" s="1"/>
  <c r="E662" i="5"/>
  <c r="F662" i="5" s="1"/>
  <c r="G664" i="5" s="1"/>
  <c r="G666" i="5" s="1"/>
  <c r="E218" i="5"/>
  <c r="F218" i="5" s="1"/>
  <c r="E683" i="5"/>
  <c r="F683" i="5" s="1"/>
  <c r="G685" i="5" s="1"/>
  <c r="G687" i="5" s="1"/>
  <c r="E767" i="5"/>
  <c r="F767" i="5" s="1"/>
  <c r="E856" i="5"/>
  <c r="F856" i="5" s="1"/>
  <c r="G858" i="5" s="1"/>
  <c r="G860" i="5" s="1"/>
  <c r="E1848" i="5"/>
  <c r="F1848" i="5" s="1"/>
  <c r="G1850" i="5" s="1"/>
  <c r="G1860" i="5" s="1"/>
  <c r="E1589" i="5"/>
  <c r="F1589" i="5" s="1"/>
  <c r="F1591" i="5" s="1"/>
  <c r="F1592" i="5" s="1"/>
  <c r="F1596" i="5" s="1"/>
  <c r="G1598" i="5" s="1"/>
  <c r="F1598" i="5" s="1"/>
  <c r="E1499" i="5"/>
  <c r="F1499" i="5" s="1"/>
  <c r="E1185" i="5"/>
  <c r="F1185" i="5" s="1"/>
  <c r="G1188" i="5" s="1"/>
  <c r="E878" i="5"/>
  <c r="F878" i="5" s="1"/>
  <c r="G880" i="5" s="1"/>
  <c r="G882" i="5" s="1"/>
  <c r="E1001" i="5"/>
  <c r="F1001" i="5" s="1"/>
  <c r="G1003" i="5" s="1"/>
  <c r="G1005" i="5" s="1"/>
  <c r="E1525" i="5"/>
  <c r="F1525" i="5" s="1"/>
  <c r="E576" i="5"/>
  <c r="F576" i="5" s="1"/>
  <c r="G578" i="5" s="1"/>
  <c r="G580" i="5" s="1"/>
  <c r="E1524" i="5"/>
  <c r="F1524" i="5" s="1"/>
  <c r="E305" i="5"/>
  <c r="F305" i="5" s="1"/>
  <c r="G307" i="5" s="1"/>
  <c r="G309" i="5" s="1"/>
  <c r="E982" i="5"/>
  <c r="F982" i="5" s="1"/>
  <c r="G984" i="5" s="1"/>
  <c r="G986" i="5" s="1"/>
  <c r="E963" i="5"/>
  <c r="F963" i="5" s="1"/>
  <c r="G965" i="5" s="1"/>
  <c r="G967" i="5" s="1"/>
  <c r="E1720" i="5"/>
  <c r="F1720" i="5" s="1"/>
  <c r="G1722" i="5" s="1"/>
  <c r="E1642" i="5"/>
  <c r="F1642" i="5" s="1"/>
  <c r="G1644" i="5" s="1"/>
  <c r="E370" i="5"/>
  <c r="F370" i="5" s="1"/>
  <c r="E835" i="5"/>
  <c r="F835" i="5" s="1"/>
  <c r="E722" i="5"/>
  <c r="F722" i="5" s="1"/>
  <c r="G724" i="5" s="1"/>
  <c r="G726" i="5" s="1"/>
  <c r="E141" i="5"/>
  <c r="F141" i="5" s="1"/>
  <c r="G143" i="5" s="1"/>
  <c r="G145" i="5" s="1"/>
  <c r="E1288" i="5"/>
  <c r="F1288" i="5" s="1"/>
  <c r="G1290" i="5" s="1"/>
  <c r="E1663" i="5"/>
  <c r="F1663" i="5" s="1"/>
  <c r="G1665" i="5" s="1"/>
  <c r="E1065" i="5"/>
  <c r="F1065" i="5" s="1"/>
  <c r="G1067" i="5" s="1"/>
  <c r="G1069" i="5" s="1"/>
  <c r="G41" i="2" s="1"/>
  <c r="H41" i="2" s="1"/>
  <c r="E1162" i="5"/>
  <c r="F1162" i="5" s="1"/>
  <c r="G1164" i="5" s="1"/>
  <c r="G1166" i="5" s="1"/>
  <c r="E1902" i="5"/>
  <c r="F1902" i="5" s="1"/>
  <c r="G1904" i="5" s="1"/>
  <c r="G1914" i="5" s="1"/>
  <c r="E554" i="5"/>
  <c r="F554" i="5" s="1"/>
  <c r="E1821" i="5"/>
  <c r="F1821" i="5" s="1"/>
  <c r="E433" i="5"/>
  <c r="F433" i="5" s="1"/>
  <c r="G435" i="5" s="1"/>
  <c r="G437" i="5" s="1"/>
  <c r="E1248" i="5"/>
  <c r="F1248" i="5" s="1"/>
  <c r="E1682" i="5"/>
  <c r="F1682" i="5" s="1"/>
  <c r="E1415" i="5"/>
  <c r="F1415" i="5" s="1"/>
  <c r="G1417" i="5" s="1"/>
  <c r="G1419" i="5" s="1"/>
  <c r="G59" i="2" s="1"/>
  <c r="E534" i="5"/>
  <c r="F534" i="5" s="1"/>
  <c r="G536" i="5" s="1"/>
  <c r="G538" i="5" s="1"/>
  <c r="E1621" i="5"/>
  <c r="F1621" i="5" s="1"/>
  <c r="E619" i="5"/>
  <c r="F619" i="5" s="1"/>
  <c r="E1325" i="5"/>
  <c r="F1325" i="5" s="1"/>
  <c r="G1327" i="5" s="1"/>
  <c r="G1329" i="5" s="1"/>
  <c r="E1929" i="5"/>
  <c r="F1929" i="5" s="1"/>
  <c r="G1931" i="5" s="1"/>
  <c r="G1941" i="5" s="1"/>
  <c r="E1700" i="5"/>
  <c r="F1700" i="5" s="1"/>
  <c r="G1702" i="5" s="1"/>
  <c r="E1347" i="5"/>
  <c r="F1347" i="5" s="1"/>
  <c r="G1349" i="5" s="1"/>
  <c r="G1351" i="5" s="1"/>
  <c r="E122" i="5"/>
  <c r="F122" i="5" s="1"/>
  <c r="E641" i="5"/>
  <c r="F641" i="5" s="1"/>
  <c r="G643" i="5" s="1"/>
  <c r="G645" i="5" s="1"/>
  <c r="E1517" i="5" l="1"/>
  <c r="F1517" i="5" s="1"/>
  <c r="E1713" i="5"/>
  <c r="F1713" i="5" s="1"/>
  <c r="E1280" i="5"/>
  <c r="F1280" i="5" s="1"/>
  <c r="I24" i="2"/>
  <c r="F1702" i="5"/>
  <c r="G1704" i="5"/>
  <c r="F1704" i="5" s="1"/>
  <c r="T1704" i="5" s="1"/>
  <c r="V1704" i="5" s="1"/>
  <c r="G769" i="5"/>
  <c r="G771" i="5" s="1"/>
  <c r="G31" i="2" s="1"/>
  <c r="H31" i="2" s="1"/>
  <c r="I30" i="2" s="1"/>
  <c r="G477" i="5"/>
  <c r="G479" i="5" s="1"/>
  <c r="E1559" i="5"/>
  <c r="F1559" i="5" s="1"/>
  <c r="G1562" i="5" s="1"/>
  <c r="G1570" i="5" s="1"/>
  <c r="F1548" i="5"/>
  <c r="G1549" i="5" s="1"/>
  <c r="E1514" i="5"/>
  <c r="F1514" i="5" s="1"/>
  <c r="E1177" i="5"/>
  <c r="F1177" i="5" s="1"/>
  <c r="E1540" i="5"/>
  <c r="F1540" i="5" s="1"/>
  <c r="G705" i="5"/>
  <c r="G707" i="5" s="1"/>
  <c r="E1176" i="5"/>
  <c r="F1176" i="5" s="1"/>
  <c r="E1539" i="5"/>
  <c r="E1513" i="5"/>
  <c r="F1513" i="5" s="1"/>
  <c r="G288" i="5"/>
  <c r="G290" i="5" s="1"/>
  <c r="F1604" i="5"/>
  <c r="G1606" i="5"/>
  <c r="F1606" i="5" s="1"/>
  <c r="T1606" i="5" s="1"/>
  <c r="V1606" i="5" s="1"/>
  <c r="G621" i="5"/>
  <c r="G623" i="5" s="1"/>
  <c r="G1108" i="5"/>
  <c r="G1110" i="5" s="1"/>
  <c r="G1823" i="5"/>
  <c r="G1833" i="5" s="1"/>
  <c r="G556" i="5"/>
  <c r="G558" i="5" s="1"/>
  <c r="G38" i="2" s="1"/>
  <c r="H38" i="2" s="1"/>
  <c r="G1527" i="5"/>
  <c r="G1501" i="5"/>
  <c r="G1503" i="5" s="1"/>
  <c r="E1448" i="5"/>
  <c r="F1448" i="5" s="1"/>
  <c r="G1453" i="5" s="1"/>
  <c r="G1461" i="5" s="1"/>
  <c r="E1714" i="5"/>
  <c r="F1714" i="5" s="1"/>
  <c r="E1516" i="5"/>
  <c r="E1281" i="5"/>
  <c r="F1281" i="5" s="1"/>
  <c r="E1518" i="5"/>
  <c r="F1518" i="5" s="1"/>
  <c r="G124" i="5"/>
  <c r="G126" i="5" s="1"/>
  <c r="G600" i="5"/>
  <c r="G602" i="5" s="1"/>
  <c r="G37" i="2" s="1"/>
  <c r="H37" i="2" s="1"/>
  <c r="I36" i="2" s="1"/>
  <c r="G45" i="2"/>
  <c r="H45" i="2" s="1"/>
  <c r="G44" i="2"/>
  <c r="H44" i="2" s="1"/>
  <c r="I39" i="2" s="1"/>
  <c r="G1209" i="5"/>
  <c r="G1211" i="5" s="1"/>
  <c r="F1644" i="5"/>
  <c r="G1769" i="5"/>
  <c r="G1779" i="5" s="1"/>
  <c r="F1665" i="5"/>
  <c r="G63" i="2"/>
  <c r="H63" i="2" s="1"/>
  <c r="G62" i="2"/>
  <c r="H62" i="2" s="1"/>
  <c r="G61" i="2"/>
  <c r="H61" i="2" s="1"/>
  <c r="G60" i="2"/>
  <c r="H60" i="2" s="1"/>
  <c r="H59" i="2"/>
  <c r="I58" i="2" s="1"/>
  <c r="G220" i="5"/>
  <c r="G222" i="5" s="1"/>
  <c r="G1623" i="5"/>
  <c r="G201" i="5"/>
  <c r="G203" i="5" s="1"/>
  <c r="G456" i="5"/>
  <c r="G458" i="5" s="1"/>
  <c r="G28" i="2" s="1"/>
  <c r="H28" i="2" s="1"/>
  <c r="I27" i="2" s="1"/>
  <c r="G18" i="2"/>
  <c r="H18" i="2" s="1"/>
  <c r="E1538" i="5"/>
  <c r="F1538" i="5" s="1"/>
  <c r="E1512" i="5"/>
  <c r="G102" i="5"/>
  <c r="G104" i="5" s="1"/>
  <c r="G1684" i="5"/>
  <c r="G1796" i="5"/>
  <c r="G1806" i="5" s="1"/>
  <c r="G1126" i="5"/>
  <c r="G1128" i="5" s="1"/>
  <c r="G1877" i="5"/>
  <c r="G1887" i="5" s="1"/>
  <c r="G1250" i="5"/>
  <c r="G1252" i="5" s="1"/>
  <c r="G372" i="5"/>
  <c r="G374" i="5" s="1"/>
  <c r="G26" i="2" s="1"/>
  <c r="H26" i="2" s="1"/>
  <c r="G943" i="5"/>
  <c r="G945" i="5" s="1"/>
  <c r="F1024" i="5"/>
  <c r="E1025" i="5"/>
  <c r="F1025" i="5" s="1"/>
  <c r="G1742" i="5"/>
  <c r="G1752" i="5" s="1"/>
  <c r="G1686" i="5" l="1"/>
  <c r="F1686" i="5" s="1"/>
  <c r="T1686" i="5" s="1"/>
  <c r="V1686" i="5" s="1"/>
  <c r="F1684" i="5"/>
  <c r="G17" i="2"/>
  <c r="H17" i="2" s="1"/>
  <c r="G22" i="2"/>
  <c r="H22" i="2" s="1"/>
  <c r="E1541" i="5"/>
  <c r="F1541" i="5" s="1"/>
  <c r="E1515" i="5"/>
  <c r="F1515" i="5" s="1"/>
  <c r="E1635" i="5"/>
  <c r="F1635" i="5" s="1"/>
  <c r="E1656" i="5"/>
  <c r="F1656" i="5" s="1"/>
  <c r="F1539" i="5"/>
  <c r="G1027" i="5"/>
  <c r="G1029" i="5" s="1"/>
  <c r="G47" i="2" s="1"/>
  <c r="H47" i="2" s="1"/>
  <c r="I46" i="2" s="1"/>
  <c r="G1283" i="5"/>
  <c r="G1292" i="5" s="1"/>
  <c r="E1658" i="5"/>
  <c r="F1658" i="5" s="1"/>
  <c r="E1637" i="5"/>
  <c r="F1637" i="5" s="1"/>
  <c r="F1512" i="5"/>
  <c r="E1636" i="5"/>
  <c r="F1636" i="5" s="1"/>
  <c r="F1516" i="5"/>
  <c r="E1657" i="5"/>
  <c r="F1657" i="5" s="1"/>
  <c r="G15" i="2"/>
  <c r="H15" i="2" s="1"/>
  <c r="E1511" i="5"/>
  <c r="F1511" i="5" s="1"/>
  <c r="G1520" i="5" s="1"/>
  <c r="G1529" i="5" s="1"/>
  <c r="E1712" i="5"/>
  <c r="F1712" i="5" s="1"/>
  <c r="G1716" i="5" s="1"/>
  <c r="G1724" i="5" s="1"/>
  <c r="E1537" i="5"/>
  <c r="F1537" i="5" s="1"/>
  <c r="G1543" i="5" s="1"/>
  <c r="G1551" i="5" s="1"/>
  <c r="E1174" i="5"/>
  <c r="F1174" i="5" s="1"/>
  <c r="G1181" i="5" s="1"/>
  <c r="G1190" i="5" s="1"/>
  <c r="F1623" i="5"/>
  <c r="G1625" i="5"/>
  <c r="F1625" i="5" s="1"/>
  <c r="T1625" i="5" s="1"/>
  <c r="V1625" i="5" s="1"/>
  <c r="G14" i="2"/>
  <c r="H14" i="2" s="1"/>
  <c r="E1175" i="5"/>
  <c r="F1175" i="5" s="1"/>
  <c r="G1659" i="5" l="1"/>
  <c r="I16" i="2"/>
  <c r="I64" i="2" s="1"/>
  <c r="I65" i="2" s="1"/>
  <c r="G1638" i="5"/>
  <c r="I66" i="2" l="1"/>
  <c r="I67" i="2" s="1"/>
  <c r="I68" i="2" s="1"/>
  <c r="I69" i="2" s="1"/>
  <c r="F1638" i="5"/>
  <c r="G1646" i="5"/>
  <c r="F1646" i="5" s="1"/>
  <c r="T1646" i="5" s="1"/>
  <c r="V1646" i="5" s="1"/>
  <c r="F1659" i="5"/>
  <c r="G1667" i="5"/>
  <c r="F1667" i="5" s="1"/>
  <c r="T1667" i="5" s="1"/>
  <c r="V1667" i="5" s="1"/>
  <c r="I70" i="2" l="1"/>
  <c r="I71" i="2"/>
  <c r="I73" i="2" s="1"/>
</calcChain>
</file>

<file path=xl/sharedStrings.xml><?xml version="1.0" encoding="utf-8"?>
<sst xmlns="http://schemas.openxmlformats.org/spreadsheetml/2006/main" count="3532" uniqueCount="565">
  <si>
    <t>m2</t>
  </si>
  <si>
    <t>Gl</t>
  </si>
  <si>
    <t>Fecha:</t>
  </si>
  <si>
    <t>Nº</t>
  </si>
  <si>
    <t>DESIGNACION DE LAS OBRAS</t>
  </si>
  <si>
    <t>UNIDAD</t>
  </si>
  <si>
    <t>CANTIDAD</t>
  </si>
  <si>
    <t xml:space="preserve">PRECIO </t>
  </si>
  <si>
    <t xml:space="preserve">        IMPORTE</t>
  </si>
  <si>
    <t>%</t>
  </si>
  <si>
    <t>TOTAL</t>
  </si>
  <si>
    <t>UNITARIO</t>
  </si>
  <si>
    <t>PARCIAL</t>
  </si>
  <si>
    <t>INCIDENCIA</t>
  </si>
  <si>
    <t>TOTAL COSTO - COSTO</t>
  </si>
  <si>
    <t>COSTO - COSTO (A)</t>
  </si>
  <si>
    <t>GASTOS GENERALES</t>
  </si>
  <si>
    <t xml:space="preserve">BENEFICIO </t>
  </si>
  <si>
    <t>IMPUESTOS</t>
  </si>
  <si>
    <t>PRECIO TOTAL</t>
  </si>
  <si>
    <t>COEFICIENTE DE IMPACTACION</t>
  </si>
  <si>
    <t xml:space="preserve"> </t>
  </si>
  <si>
    <t>Empresa:</t>
  </si>
  <si>
    <t>PLANILLA de COMPUTO y PRESUPUESTO</t>
  </si>
  <si>
    <t>CODIGO</t>
  </si>
  <si>
    <t>LISTA DE PRECIOS SIN IVA</t>
  </si>
  <si>
    <t>MARCA</t>
  </si>
  <si>
    <t>UN</t>
  </si>
  <si>
    <t>PRECIO</t>
  </si>
  <si>
    <t>Jornal Básico Oficial</t>
  </si>
  <si>
    <t>Hs</t>
  </si>
  <si>
    <t>Jornal Básico Ayudante</t>
  </si>
  <si>
    <t>Cemento</t>
  </si>
  <si>
    <t>Kg</t>
  </si>
  <si>
    <t xml:space="preserve">Arena </t>
  </si>
  <si>
    <t>M3</t>
  </si>
  <si>
    <t>Piedra</t>
  </si>
  <si>
    <t>Hierro torsionado</t>
  </si>
  <si>
    <t>Mallas sold. de Fe tors</t>
  </si>
  <si>
    <t>Alambre Negro</t>
  </si>
  <si>
    <t>Madera para encofrado</t>
  </si>
  <si>
    <t>M2</t>
  </si>
  <si>
    <t>Cal</t>
  </si>
  <si>
    <t>Ladrillo Cerámico 8x18x25</t>
  </si>
  <si>
    <t>Hidrófugo</t>
  </si>
  <si>
    <t xml:space="preserve">Techado asfaltico </t>
  </si>
  <si>
    <t>LTS</t>
  </si>
  <si>
    <t>Pintura asfáltica</t>
  </si>
  <si>
    <t>Metal desplegado</t>
  </si>
  <si>
    <t>Alambre galvanizado Nº 8</t>
  </si>
  <si>
    <t xml:space="preserve">Clavos </t>
  </si>
  <si>
    <t xml:space="preserve">Chapa Trapezoidal Nº 24 </t>
  </si>
  <si>
    <t>Chapa Trap 1010 Nº 24 Prepintada</t>
  </si>
  <si>
    <t>Chapa AU L1 400 Nº 24 Galv</t>
  </si>
  <si>
    <t>Correa de hierro Tipo C</t>
  </si>
  <si>
    <t>Viga metálica Tipo C</t>
  </si>
  <si>
    <t>Chapa lisa Nº 24 Prepintada</t>
  </si>
  <si>
    <t>Chapa lisa Nº 24 Galv</t>
  </si>
  <si>
    <t>Cumbrera de Chº Nº 24</t>
  </si>
  <si>
    <t>ML</t>
  </si>
  <si>
    <t>Gancho J P/techo</t>
  </si>
  <si>
    <t>Un</t>
  </si>
  <si>
    <t>Chapa Galvanizada lisa Nº 27</t>
  </si>
  <si>
    <t>Plegado Chapa</t>
  </si>
  <si>
    <t>Accesorios para zingueria</t>
  </si>
  <si>
    <t>Ladrillos comunes</t>
  </si>
  <si>
    <t>Ladrillos comunes p/visto</t>
  </si>
  <si>
    <t>Placas de yeso 9,5 mm</t>
  </si>
  <si>
    <t>Perfil Galera Chº electricinc. prepintada</t>
  </si>
  <si>
    <t>Ml</t>
  </si>
  <si>
    <t>Perfil L Chº electricincada prepintada</t>
  </si>
  <si>
    <t>Alambre Galvanizado Nº 13</t>
  </si>
  <si>
    <t>Cascote de ladrillos</t>
  </si>
  <si>
    <t>Lijas y Accesorios</t>
  </si>
  <si>
    <t>Entonador x 120 cc</t>
  </si>
  <si>
    <t>Antióxido</t>
  </si>
  <si>
    <t>Lts</t>
  </si>
  <si>
    <t>Pintura T/Cetol o sim.</t>
  </si>
  <si>
    <t>Esmalte sintético</t>
  </si>
  <si>
    <t>Pintura siliconada p/muros ext</t>
  </si>
  <si>
    <t>Látex p/interiores</t>
  </si>
  <si>
    <t>Látex p/exteriores</t>
  </si>
  <si>
    <t>Látex p/cielorrasos</t>
  </si>
  <si>
    <t>Pintura a látex p/ piletas</t>
  </si>
  <si>
    <t>Pintura especial para pizarron</t>
  </si>
  <si>
    <t>Enduido plástico</t>
  </si>
  <si>
    <t>Pintura Epoxi inc. catalizador</t>
  </si>
  <si>
    <t>Impermeabilizante t/Barrier Aqua</t>
  </si>
  <si>
    <t>Listón perimetral de 3/4x2"</t>
  </si>
  <si>
    <t>Listón perimetral de 3/4x4"</t>
  </si>
  <si>
    <t>Portatiza de madera dura</t>
  </si>
  <si>
    <t>Sellador 1º Mano</t>
  </si>
  <si>
    <t>Acido muriático</t>
  </si>
  <si>
    <t>Tornillo de bce c/tacos fischer</t>
  </si>
  <si>
    <t>Vidrio triple transparente 4mm</t>
  </si>
  <si>
    <t>Masilla</t>
  </si>
  <si>
    <t>Ceramicos esmaltados de 20x20</t>
  </si>
  <si>
    <t>Cemento Blanco</t>
  </si>
  <si>
    <t>Revestimiento cementicio Texturado simil piedra</t>
  </si>
  <si>
    <t>Adhesivo cementicio p/revest.</t>
  </si>
  <si>
    <t>Brea solida</t>
  </si>
  <si>
    <t>Cera</t>
  </si>
  <si>
    <t>Mosaico  Granítico 30x30 Color</t>
  </si>
  <si>
    <t>Zócalo Granitico 10x30</t>
  </si>
  <si>
    <t>Pastina color</t>
  </si>
  <si>
    <t>Losetas de 40x40 C/relieves</t>
  </si>
  <si>
    <t>Losetas de 50x40 Atermico p/borde</t>
  </si>
  <si>
    <t>Sellador de juntas en tiras</t>
  </si>
  <si>
    <t>Reja metálica</t>
  </si>
  <si>
    <t>Mortero de cto 1:3</t>
  </si>
  <si>
    <t>Machimbre de 3/4x4"</t>
  </si>
  <si>
    <t>Caballetes de pino 1 x 3 1/2"</t>
  </si>
  <si>
    <t>Liston de pino 1/2 x 1 1/2"</t>
  </si>
  <si>
    <t>Alfajias de pino 1x3"</t>
  </si>
  <si>
    <t>Estacas de madera semidura</t>
  </si>
  <si>
    <t>Cantonera de madera</t>
  </si>
  <si>
    <t>Clavos s/cabeza</t>
  </si>
  <si>
    <t>Lana de vidrio de 38mm</t>
  </si>
  <si>
    <t>Isopor en planchas de 1"</t>
  </si>
  <si>
    <t>Alum Air 10 mm</t>
  </si>
  <si>
    <t>Membrana asfáltica con Al de 4mm</t>
  </si>
  <si>
    <t>Mesada granito reconstituido</t>
  </si>
  <si>
    <t>Umbrales y solias de granito reconstituido</t>
  </si>
  <si>
    <t>Angulos y perfilerías de hierro</t>
  </si>
  <si>
    <t>Correas de Chapa negra</t>
  </si>
  <si>
    <t>Correas de Chapa Galvanizadas</t>
  </si>
  <si>
    <t>Perfil normal Nº 8</t>
  </si>
  <si>
    <t>ANALISIS DE COSTOS</t>
  </si>
  <si>
    <t>Item:</t>
  </si>
  <si>
    <t>COSTO HORARIO DE LA MANO DE OBRA</t>
  </si>
  <si>
    <t>Unidad:</t>
  </si>
  <si>
    <t>(Hs)</t>
  </si>
  <si>
    <t xml:space="preserve"> FEBRERO/2004</t>
  </si>
  <si>
    <t xml:space="preserve"> AGOSTO/2003</t>
  </si>
  <si>
    <t>A: OFICIAL ALBAÑIL</t>
  </si>
  <si>
    <t>DESIGNACION</t>
  </si>
  <si>
    <t>OFICIAL</t>
  </si>
  <si>
    <t>Jornal Básico</t>
  </si>
  <si>
    <t>BASICO</t>
  </si>
  <si>
    <t>Asistencia Perfecta</t>
  </si>
  <si>
    <t>ASISTENCIA PERFECTA</t>
  </si>
  <si>
    <t>Cargas sociales</t>
  </si>
  <si>
    <t>FONDO DESEMPLEO</t>
  </si>
  <si>
    <t>Seguro Obrero</t>
  </si>
  <si>
    <t>ART</t>
  </si>
  <si>
    <t>Ley Provincial 49</t>
  </si>
  <si>
    <t>APORTE PATRONAL JUBILACION</t>
  </si>
  <si>
    <t>OSPECON</t>
  </si>
  <si>
    <t>CAUSAS CLIMATICAS</t>
  </si>
  <si>
    <t>FONDO SALUD PUBLICA</t>
  </si>
  <si>
    <t>ENFERMEDAD</t>
  </si>
  <si>
    <t>VACACIONES</t>
  </si>
  <si>
    <t>S.A.C.</t>
  </si>
  <si>
    <t>VESTIMENTA</t>
  </si>
  <si>
    <t>FERIADOS</t>
  </si>
  <si>
    <t>B: AYUDANTE ALBAÑIL</t>
  </si>
  <si>
    <t>JORNAL DE APLICACION</t>
  </si>
  <si>
    <t>FACTOR</t>
  </si>
  <si>
    <t>AYUDANTE</t>
  </si>
  <si>
    <t>LIMPIEZA Y NIVELACION DEL TERRENO</t>
  </si>
  <si>
    <t>(GL)</t>
  </si>
  <si>
    <t>A: M A T E R I A L E S</t>
  </si>
  <si>
    <t>Alq. Equipos Retroexcavadora</t>
  </si>
  <si>
    <t>GL</t>
  </si>
  <si>
    <t>Alq. Equipos Camiones</t>
  </si>
  <si>
    <t>SUBTOTAL 1</t>
  </si>
  <si>
    <t>B: M A N O    DE   O B R A</t>
  </si>
  <si>
    <t>Oficial</t>
  </si>
  <si>
    <t>hs</t>
  </si>
  <si>
    <t>Ayudante</t>
  </si>
  <si>
    <t>SUBTOTAL 2</t>
  </si>
  <si>
    <t>TOTAL DEL ITEM</t>
  </si>
  <si>
    <t>CARTEL DE OBRA</t>
  </si>
  <si>
    <t>Tubos estructurales metálicos</t>
  </si>
  <si>
    <t>KG</t>
  </si>
  <si>
    <t>Chapa H°N° Nº 18</t>
  </si>
  <si>
    <t>Electrodos</t>
  </si>
  <si>
    <t>Oficial Herrero</t>
  </si>
  <si>
    <t>Letrista</t>
  </si>
  <si>
    <t>OBRADOR</t>
  </si>
  <si>
    <t>Adecuar instalaciones p/obrador</t>
  </si>
  <si>
    <t>Instalaciones</t>
  </si>
  <si>
    <t xml:space="preserve">Obrador </t>
  </si>
  <si>
    <t>REPLANTEO</t>
  </si>
  <si>
    <t>RELLENO Y COMPACTACION DE TERRENO CON SUELO</t>
  </si>
  <si>
    <t>(M3)</t>
  </si>
  <si>
    <t>Aporte de suelo</t>
  </si>
  <si>
    <t xml:space="preserve">B: E Q U I P O S </t>
  </si>
  <si>
    <t>Para distribucion</t>
  </si>
  <si>
    <t>Para compactación</t>
  </si>
  <si>
    <t>EXTRACCION DE SUELO VEGETAL</t>
  </si>
  <si>
    <t>EXCAVACION PARA VIGAS, ZAPATAS Y BASES</t>
  </si>
  <si>
    <t>EXCAVACION PARA PILOTINES</t>
  </si>
  <si>
    <t>HºAº PARA PILOTINES. VIGAS, NERVIOS Y PLATEAS EN FUNDACIONES</t>
  </si>
  <si>
    <t>Hº Aº PARA COLUMNAS Y REFUERZOS VERTICALES</t>
  </si>
  <si>
    <t>Hº Aº PARA VIGAS Y VIGAS DE ENCADENADO SUPERIOR</t>
  </si>
  <si>
    <t>REFUERZO ARMADO EN MAMPOSTERIA</t>
  </si>
  <si>
    <t>(Ml)</t>
  </si>
  <si>
    <t>MAMPOSTERIA DE LAD. COMUNES EN FUNDACIONES</t>
  </si>
  <si>
    <t>MAMPOSTERIA DE LAD. T/VISTO EN ELEVACION</t>
  </si>
  <si>
    <t>MAMPOSTERIA DE LAD. T/VISTO CON ARMADURA PARA PILARES</t>
  </si>
  <si>
    <t>TABIQUES DE LAD. CERAMICOS DE 10 CM</t>
  </si>
  <si>
    <t>(M2)</t>
  </si>
  <si>
    <t>MAMPOSTERIA DE LADRILLOS SARDINEL</t>
  </si>
  <si>
    <t>(ML)</t>
  </si>
  <si>
    <t>ANTEPECHOS PREMOLDEADOS</t>
  </si>
  <si>
    <t>Molde metálico</t>
  </si>
  <si>
    <t>CAPA AISLADORA HORIZONTAL Y VERTICAL</t>
  </si>
  <si>
    <t>CUBIERTA CHAPA DE A. GALVANIZADA Nº 24  TIPO AU L1 o similar</t>
  </si>
  <si>
    <t xml:space="preserve">CANALETAS DE CH Gº Nº 24 </t>
  </si>
  <si>
    <t xml:space="preserve">CUMBRERAS, LIMAHOYAS Y LIMATESAS DE CH. Gº Nº 24 </t>
  </si>
  <si>
    <t xml:space="preserve">CENEFAS Y BABETAS DE CH Gº Nº 24 </t>
  </si>
  <si>
    <t>INTERIOR A LA CAL COMUN (JAHARRO Y ENLUCIDO)</t>
  </si>
  <si>
    <t xml:space="preserve">REVOQUE AZOTADO IMP. Y JAHARRO B/REVESTIMIENTO EN LOCALES SANITARIOS </t>
  </si>
  <si>
    <t>EXTERIOR A LA CAL COMPLETO TERMINADO AL FIELTRO C/AZOT.</t>
  </si>
  <si>
    <t>INTERIOR A LA CAL COMPLETO TERMINADO AL FIELTRO C/AZOT</t>
  </si>
  <si>
    <t>TERMINACION FRATAZADO DE FONDO PILETA</t>
  </si>
  <si>
    <t>REVOQUE IMPERMEABLE CON HIDROFUGO</t>
  </si>
  <si>
    <t>ENLUCIDO A LA CAL</t>
  </si>
  <si>
    <t>TERMINACION LAD. COMUN JTA. ENRRASADA</t>
  </si>
  <si>
    <t>REVESTIMIENTO DE CERAMICOS ESMALTADOS DE 20X20</t>
  </si>
  <si>
    <t xml:space="preserve">Ayudante </t>
  </si>
  <si>
    <t>CONTRAPISO DE HORMIGON POBRE S/LOSA O PLATEAS</t>
  </si>
  <si>
    <t>CONTRAPISO DE HORMIGON POBRE S/TN ESP 12 CM</t>
  </si>
  <si>
    <t>CONTRAPISO DE HORMIGON POBRE S/TN ESP 10 CM EN VEREDAS</t>
  </si>
  <si>
    <t>CONTRAPISO EN PLACARES Y BAJO MESADAS</t>
  </si>
  <si>
    <t>PISO DE MOSAICOS GRANITICOS 30X30</t>
  </si>
  <si>
    <t>Pulidor</t>
  </si>
  <si>
    <t xml:space="preserve">LOSETAS DE 40X40 </t>
  </si>
  <si>
    <t xml:space="preserve">LOSETAS DE BORDE DE PILETAS 50X50 ATERMICO </t>
  </si>
  <si>
    <t>CARPETA DE CEMENTO FRATASADO O ALISADO RODILLADO</t>
  </si>
  <si>
    <t>ZOCALOS GRANITICOS DE 10X30</t>
  </si>
  <si>
    <t>ZOCALOS DE CEMENTO ALISADO</t>
  </si>
  <si>
    <t>CORDON DE HºPº ARMADO DE 10X20</t>
  </si>
  <si>
    <t>AISLACION TERMICA S/CIELORRASOS LANA DE VIDRIO DE 38m</t>
  </si>
  <si>
    <t>POLIESTIRENO EN PLANCHAS DE 25 MM</t>
  </si>
  <si>
    <t>CIELORRASO PLACA DE YESO 9,5 MM CON EST. A LA VISTA PLANO</t>
  </si>
  <si>
    <t>Accesorios</t>
  </si>
  <si>
    <t>Oficial Pintor</t>
  </si>
  <si>
    <t>LATEX PARA CIELORRASOS</t>
  </si>
  <si>
    <t>LATEX PARA INTERIORES</t>
  </si>
  <si>
    <t>LATEX PARA EXTERIORES</t>
  </si>
  <si>
    <t>PINTURA SILICONADA P/LAD. VISTOS EXTERIOR E INTERIOR</t>
  </si>
  <si>
    <t>PINTURAS PARA MUEBLES Y ABERTURAS DE MADERA</t>
  </si>
  <si>
    <t>ESMALTE SINTETICO S/CARPINTERIA DE MADERA Y METALICA</t>
  </si>
  <si>
    <t>PINTURA ESPECIAL PARA PILETAS</t>
  </si>
  <si>
    <t>CERCO PERIMETRAL</t>
  </si>
  <si>
    <t xml:space="preserve">Excavaciones </t>
  </si>
  <si>
    <t>Excavaciones pilotines</t>
  </si>
  <si>
    <t>Mamposteria</t>
  </si>
  <si>
    <t>Refuerzos de mamposteria</t>
  </si>
  <si>
    <t>ml</t>
  </si>
  <si>
    <t>Postes de HºAº</t>
  </si>
  <si>
    <t>Alambre Tejido romboidal</t>
  </si>
  <si>
    <t>Accesorios y Planchuelas</t>
  </si>
  <si>
    <t>Oficial herrero</t>
  </si>
  <si>
    <t>MESADAS DE GRANITO RECONSTITUIDO</t>
  </si>
  <si>
    <t>UMBRALES Y SOLIAS DE GRANITO RECONSTITUIDO</t>
  </si>
  <si>
    <t>PINTURA BITUMINOSA</t>
  </si>
  <si>
    <t>AISLANTE TIPO ALUM AIR</t>
  </si>
  <si>
    <t>MEMBRANA ASFALTICA DE 4 MM</t>
  </si>
  <si>
    <t>Contrapiso sobre losa</t>
  </si>
  <si>
    <t>Carpeta de cemento</t>
  </si>
  <si>
    <t>ANTIOXIDO SINTETICO S/CABRIADAS Y BARANDAS</t>
  </si>
  <si>
    <t>ESMALTE SINTETICO S/CABRIADAS Y BARANDAS</t>
  </si>
  <si>
    <t>CIELORRASO MACHIMBRADO DE MADERA CON ESTRUCTURA</t>
  </si>
  <si>
    <t>CIELORRASO A LA CAL BAJO METAL DESPLEGADO</t>
  </si>
  <si>
    <t>CIELORRASO A LA CAL BAJO METAL DESPLEGADO S/ESTRUCTURA EXISTENTE</t>
  </si>
  <si>
    <t>VIDRIO TRIPLE TRANSPARENTE</t>
  </si>
  <si>
    <t>VIDRIO TRIPLE TRANSPARENTE ARENADO</t>
  </si>
  <si>
    <t>Arenado</t>
  </si>
  <si>
    <t>PIZARRONES PARA AULAS</t>
  </si>
  <si>
    <t>(UN)</t>
  </si>
  <si>
    <t>Cemento alisado</t>
  </si>
  <si>
    <t>LISTONES PORTALAMINAS</t>
  </si>
  <si>
    <t>MASTIL</t>
  </si>
  <si>
    <t>Caño de Fe de 2" x 3,7 mm</t>
  </si>
  <si>
    <t>Caño de Fe de 3" x 3,7 mm</t>
  </si>
  <si>
    <t>Caño de Fe de 4" x 3,7 mm</t>
  </si>
  <si>
    <t>Brocas de sujecion</t>
  </si>
  <si>
    <t>Antóxido</t>
  </si>
  <si>
    <t xml:space="preserve">Hormigon </t>
  </si>
  <si>
    <t>CAMARA SEPTICA 20 M3</t>
  </si>
  <si>
    <t>Losa HºAº para fondo</t>
  </si>
  <si>
    <t>Mamposteria de 30</t>
  </si>
  <si>
    <t>Losa HºAº para tapa y pantallas</t>
  </si>
  <si>
    <t>Revoque impermeable</t>
  </si>
  <si>
    <t>Contrapiso de pendiente</t>
  </si>
  <si>
    <t>Tapas FF</t>
  </si>
  <si>
    <t xml:space="preserve">Un </t>
  </si>
  <si>
    <t>POZO ABSORVENTE DE 2 MTS DIAM X 5 MTS</t>
  </si>
  <si>
    <t>Aro  HºAº para fondo</t>
  </si>
  <si>
    <t>Tapas cto</t>
  </si>
  <si>
    <t>PERFORACIONES PARA DRENAJES</t>
  </si>
  <si>
    <t>Excavaciones c/pala barreno</t>
  </si>
  <si>
    <t>Cascote molido</t>
  </si>
  <si>
    <t>EXCAVACION Y TAPADO DE ZANJAS PARA REDES  DE AGUA - RETROEXCAVADORA</t>
  </si>
  <si>
    <t>(m3)</t>
  </si>
  <si>
    <t>EQUIPOS</t>
  </si>
  <si>
    <t>HP</t>
  </si>
  <si>
    <t>TOTAL BASICO</t>
  </si>
  <si>
    <t>RETROEXCAVADORA</t>
  </si>
  <si>
    <t>Potencia Total</t>
  </si>
  <si>
    <t>COSTO TOTAL EQUIPOS</t>
  </si>
  <si>
    <t>COSTO HORARIO EQUIPO</t>
  </si>
  <si>
    <t>Amortización</t>
  </si>
  <si>
    <t>Intereses</t>
  </si>
  <si>
    <t>Reparación y repuestos</t>
  </si>
  <si>
    <t>Combustibles y Lubricantes</t>
  </si>
  <si>
    <t>COSTO HORARIO M DE OBRA</t>
  </si>
  <si>
    <t>Oficial Especializado</t>
  </si>
  <si>
    <t>COSTO HORARIO TOTAL</t>
  </si>
  <si>
    <t>RENDIMIENTO EXCAVACION</t>
  </si>
  <si>
    <t>M3/HS</t>
  </si>
  <si>
    <t>COSTO POR UNIDAD</t>
  </si>
  <si>
    <r>
      <t xml:space="preserve">CAÑERIA DE PVC JE </t>
    </r>
    <r>
      <rPr>
        <b/>
        <sz val="12"/>
        <rFont val="Symbol"/>
        <family val="1"/>
        <charset val="2"/>
      </rPr>
      <t>F 90</t>
    </r>
    <r>
      <rPr>
        <b/>
        <sz val="12"/>
        <rFont val="Arial"/>
        <family val="2"/>
      </rPr>
      <t xml:space="preserve"> mm</t>
    </r>
  </si>
  <si>
    <t>(ml)</t>
  </si>
  <si>
    <t>A: MATERIALES</t>
  </si>
  <si>
    <t>Cañería de PVC JE ø 90 mm</t>
  </si>
  <si>
    <t>VALVULAS EXCLUSAS DE FºFº ø 90 mm</t>
  </si>
  <si>
    <t>(Un)</t>
  </si>
  <si>
    <t>Val vula Exclusa FF de 90 mm</t>
  </si>
  <si>
    <t>Tapa FF para VE</t>
  </si>
  <si>
    <t>Mampostería para cámara</t>
  </si>
  <si>
    <t>Revoques impermeable</t>
  </si>
  <si>
    <t>HºAº para base y tapa</t>
  </si>
  <si>
    <t>HIDRANTE A RESORTE DE FºFº DE 90 mm</t>
  </si>
  <si>
    <t>Hidrante a resorte de 75 mm</t>
  </si>
  <si>
    <t>Tapa FF para hidrante</t>
  </si>
  <si>
    <t>EMPALME A CAÑERIAS EXISTENTES CON CRUCE DE RUTA</t>
  </si>
  <si>
    <t>(Gl)</t>
  </si>
  <si>
    <t>CONEXIONES A RED DE AGUA INC. CRUCE DE CALLE Y MEDIDOR</t>
  </si>
  <si>
    <t>Medidor de caudal Bce</t>
  </si>
  <si>
    <t>Cañería Pol K10</t>
  </si>
  <si>
    <t>ALBAÑALES DE CEMENTO</t>
  </si>
  <si>
    <t xml:space="preserve">Rejas </t>
  </si>
  <si>
    <t>DEMOLICIONES DE CUBIERTAS EXISTENTES INC CANALETAS</t>
  </si>
  <si>
    <t>DEMOLICIONES DE TABIQUES MUROS Y CARPINTERIAS</t>
  </si>
  <si>
    <t>DEMOLICIONES DE REVOQUES</t>
  </si>
  <si>
    <t>DEMOLICIONES DE CONTRAPISOS</t>
  </si>
  <si>
    <t>DEMOLICIONES DE CIELORRASOS</t>
  </si>
  <si>
    <t>DEMOLICIONES DE PISOS</t>
  </si>
  <si>
    <t>RETIRO DE CANALETAS</t>
  </si>
  <si>
    <t>RETIRO DE ESCOMBROS Y LIMPIEZA TOTAL</t>
  </si>
  <si>
    <t>DESMALEZAMIENTO del TERRENO</t>
  </si>
  <si>
    <t>OBRA:</t>
  </si>
  <si>
    <t>LISTADO DE PRECIO DE INSUMOS - Materiales y M.O.</t>
  </si>
  <si>
    <t xml:space="preserve">HORMIGON ARMADO </t>
  </si>
  <si>
    <t>EXCAVACION</t>
  </si>
  <si>
    <t xml:space="preserve">MAMPOSTERIA </t>
  </si>
  <si>
    <t xml:space="preserve">CAPA AISLADORA DOBLE SELLADA </t>
  </si>
  <si>
    <t>CONTRAPISO</t>
  </si>
  <si>
    <t>PISO</t>
  </si>
  <si>
    <t>ZOCALO</t>
  </si>
  <si>
    <t xml:space="preserve">REVOQUE </t>
  </si>
  <si>
    <t>PINTURA</t>
  </si>
  <si>
    <t>CIELORRASO</t>
  </si>
  <si>
    <t xml:space="preserve">CARPINTERIA METALICA </t>
  </si>
  <si>
    <t>VIDRIO</t>
  </si>
  <si>
    <t>m3</t>
  </si>
  <si>
    <t>Exc viga de encadenado inferior</t>
  </si>
  <si>
    <t>1.1</t>
  </si>
  <si>
    <t xml:space="preserve">Exc para pilotines </t>
  </si>
  <si>
    <t>1.2</t>
  </si>
  <si>
    <t>1.3</t>
  </si>
  <si>
    <t>2.1</t>
  </si>
  <si>
    <t>H°A° Viga encadenado inf</t>
  </si>
  <si>
    <t xml:space="preserve">H°A° para pilotines </t>
  </si>
  <si>
    <t xml:space="preserve">H°A°para fondos </t>
  </si>
  <si>
    <t>H°A° para piramidal</t>
  </si>
  <si>
    <t xml:space="preserve">H°A° para columnas </t>
  </si>
  <si>
    <t xml:space="preserve">H°A° para vigas </t>
  </si>
  <si>
    <t xml:space="preserve">H°A° para losa </t>
  </si>
  <si>
    <t>2.3</t>
  </si>
  <si>
    <t>2.4</t>
  </si>
  <si>
    <t>2.5</t>
  </si>
  <si>
    <t>2.6</t>
  </si>
  <si>
    <t>2.7</t>
  </si>
  <si>
    <t>2.8</t>
  </si>
  <si>
    <t xml:space="preserve"> Mamposteria de ladrillo comun ext 0.20m</t>
  </si>
  <si>
    <t>3.1</t>
  </si>
  <si>
    <t>3.2</t>
  </si>
  <si>
    <t>Mamposteria de ladrillo comun 0.15m</t>
  </si>
  <si>
    <t>4.1</t>
  </si>
  <si>
    <t>5.1</t>
  </si>
  <si>
    <t>6.1</t>
  </si>
  <si>
    <t xml:space="preserve">Revoque interior completo </t>
  </si>
  <si>
    <t xml:space="preserve">Pintura latex exterior </t>
  </si>
  <si>
    <t xml:space="preserve">Pintura latex interior </t>
  </si>
  <si>
    <t xml:space="preserve">Cielorraso aplicado a la cal </t>
  </si>
  <si>
    <t>cant</t>
  </si>
  <si>
    <t>1.4</t>
  </si>
  <si>
    <t>1.5</t>
  </si>
  <si>
    <t>1.6</t>
  </si>
  <si>
    <t>1.7</t>
  </si>
  <si>
    <t>1.8</t>
  </si>
  <si>
    <t>1.9</t>
  </si>
  <si>
    <t>4.2</t>
  </si>
  <si>
    <t>5.2</t>
  </si>
  <si>
    <t>5.3</t>
  </si>
  <si>
    <t>5.4</t>
  </si>
  <si>
    <t>5.5</t>
  </si>
  <si>
    <t>5.6</t>
  </si>
  <si>
    <t>2.2</t>
  </si>
  <si>
    <t>2.9</t>
  </si>
  <si>
    <t>3.3</t>
  </si>
  <si>
    <t>3.4</t>
  </si>
  <si>
    <t>3.5</t>
  </si>
  <si>
    <t>3.6</t>
  </si>
  <si>
    <t>3.7</t>
  </si>
  <si>
    <t>3.8</t>
  </si>
  <si>
    <t>3.9</t>
  </si>
  <si>
    <t>4.3</t>
  </si>
  <si>
    <t>4.4</t>
  </si>
  <si>
    <t>4.5</t>
  </si>
  <si>
    <t>4.6</t>
  </si>
  <si>
    <t>4.7</t>
  </si>
  <si>
    <t>4.8</t>
  </si>
  <si>
    <t>4.9</t>
  </si>
  <si>
    <t>5.7</t>
  </si>
  <si>
    <t>5.8</t>
  </si>
  <si>
    <t>5.9</t>
  </si>
  <si>
    <t>Ceramico 30x30</t>
  </si>
  <si>
    <t>Pintura Ventana</t>
  </si>
  <si>
    <t>Pintura Puerta Ext</t>
  </si>
  <si>
    <t>Pintura Puerta Int</t>
  </si>
  <si>
    <t>Locales</t>
  </si>
  <si>
    <t>Zocalo 30x30</t>
  </si>
  <si>
    <t>Revoque exterior completo</t>
  </si>
  <si>
    <t>CARPINTERIA MADERA</t>
  </si>
  <si>
    <t>Computo de obra</t>
  </si>
  <si>
    <t>Segovia Joaquin Ezequiel</t>
  </si>
  <si>
    <t>RUBROS</t>
  </si>
  <si>
    <t>Designacion</t>
  </si>
  <si>
    <t>N° de partes</t>
  </si>
  <si>
    <t>Largo</t>
  </si>
  <si>
    <t>Ancho</t>
  </si>
  <si>
    <t>Altura</t>
  </si>
  <si>
    <t>Unidad</t>
  </si>
  <si>
    <t>Parcial</t>
  </si>
  <si>
    <t>Total</t>
  </si>
  <si>
    <t>EXCAVACIONES</t>
  </si>
  <si>
    <t>Exc. de V.Encadenado inferior</t>
  </si>
  <si>
    <t>V.E.1</t>
  </si>
  <si>
    <t>V.E.2</t>
  </si>
  <si>
    <t>V.E.3</t>
  </si>
  <si>
    <t>V.E.4</t>
  </si>
  <si>
    <t>V.E.5</t>
  </si>
  <si>
    <t>V.E.6</t>
  </si>
  <si>
    <t>V.E.7</t>
  </si>
  <si>
    <t>V.E.8</t>
  </si>
  <si>
    <t>V.E.9</t>
  </si>
  <si>
    <t>V.E.10</t>
  </si>
  <si>
    <t>V.E.11</t>
  </si>
  <si>
    <t>V.E.12</t>
  </si>
  <si>
    <t>V.E.13</t>
  </si>
  <si>
    <t>V.E.14</t>
  </si>
  <si>
    <t>Exc. de pilotines</t>
  </si>
  <si>
    <t>Exc. de Zapatas aisladas 2</t>
  </si>
  <si>
    <t>Exc. de Zaptas aisladas 1</t>
  </si>
  <si>
    <t>HORMIGON ARMADO</t>
  </si>
  <si>
    <t>H°A° Viga de encadenado inf.</t>
  </si>
  <si>
    <t>tomar igual valor para excavacion</t>
  </si>
  <si>
    <t>H°A° para pilotines</t>
  </si>
  <si>
    <t>H°A° para fondos 1</t>
  </si>
  <si>
    <t>H°A° para piramidal 1</t>
  </si>
  <si>
    <t>H°A° para fondos 2</t>
  </si>
  <si>
    <t>H°A° para piramidal 2</t>
  </si>
  <si>
    <t>H°A° para columnas</t>
  </si>
  <si>
    <t>H°A° para vigas</t>
  </si>
  <si>
    <t>H°A° para losas</t>
  </si>
  <si>
    <t>MAMPOSTERIA</t>
  </si>
  <si>
    <t>Mamposteria L.C 0.20 cm</t>
  </si>
  <si>
    <t>Pared 1</t>
  </si>
  <si>
    <t>Pared 2</t>
  </si>
  <si>
    <t>Pared 3</t>
  </si>
  <si>
    <t>Pared 4</t>
  </si>
  <si>
    <t>Pared 5</t>
  </si>
  <si>
    <t>Pared 6</t>
  </si>
  <si>
    <t>Pared 7</t>
  </si>
  <si>
    <t>Pared 8</t>
  </si>
  <si>
    <t>Pared 9</t>
  </si>
  <si>
    <t>Pared 10</t>
  </si>
  <si>
    <t>pared 11</t>
  </si>
  <si>
    <t>pared 12</t>
  </si>
  <si>
    <t>pared 13</t>
  </si>
  <si>
    <t>pared 14</t>
  </si>
  <si>
    <t xml:space="preserve">pared 15 </t>
  </si>
  <si>
    <t>pared 16</t>
  </si>
  <si>
    <t>pared 17</t>
  </si>
  <si>
    <t>pared 18</t>
  </si>
  <si>
    <t>Mamposteria L.C 0.15cm</t>
  </si>
  <si>
    <t>pared 1</t>
  </si>
  <si>
    <t>pared 2</t>
  </si>
  <si>
    <t>pared 3</t>
  </si>
  <si>
    <t>pared4</t>
  </si>
  <si>
    <t>6.7.</t>
  </si>
  <si>
    <t>CAPA AISLADORA DOBLE SELLADA</t>
  </si>
  <si>
    <t>capa aisladora muro 0.20</t>
  </si>
  <si>
    <t>capa aisladora muro 0.15</t>
  </si>
  <si>
    <t>contrapiso sobre terreno natural</t>
  </si>
  <si>
    <t>Local N°1</t>
  </si>
  <si>
    <t>Local N°2</t>
  </si>
  <si>
    <t>Local N°3</t>
  </si>
  <si>
    <t>Local N°4</t>
  </si>
  <si>
    <t>Local N°5</t>
  </si>
  <si>
    <t>Local N° 6</t>
  </si>
  <si>
    <t>Local N°7</t>
  </si>
  <si>
    <t>Local N°8</t>
  </si>
  <si>
    <t>zocalo ceramico 50x50</t>
  </si>
  <si>
    <t>zocalo ceramico int.</t>
  </si>
  <si>
    <t>REVOQUE</t>
  </si>
  <si>
    <t xml:space="preserve">Pared 9 </t>
  </si>
  <si>
    <t>Pared 11</t>
  </si>
  <si>
    <t>Pared 12</t>
  </si>
  <si>
    <t>Pared 13</t>
  </si>
  <si>
    <t>Pared 14</t>
  </si>
  <si>
    <t>Pared 15</t>
  </si>
  <si>
    <t>Pared 16</t>
  </si>
  <si>
    <t>Pared 17</t>
  </si>
  <si>
    <t>Revoque interior completo</t>
  </si>
  <si>
    <t>pared 10</t>
  </si>
  <si>
    <t>pared 15</t>
  </si>
  <si>
    <t>pared 19</t>
  </si>
  <si>
    <t>pared 20</t>
  </si>
  <si>
    <t>pared 21</t>
  </si>
  <si>
    <t>Pintura Latex Ext.</t>
  </si>
  <si>
    <t>Tomar igual valor a R.E</t>
  </si>
  <si>
    <t>Pintura Latex Int.</t>
  </si>
  <si>
    <t>Tomar igual valor a R.I</t>
  </si>
  <si>
    <t>Pintura puerta int.</t>
  </si>
  <si>
    <t xml:space="preserve">cielorraso aplicado a la cal. </t>
  </si>
  <si>
    <t>tomar igual valor a C.P</t>
  </si>
  <si>
    <t>CARPINTERIA</t>
  </si>
  <si>
    <t>Carpinteria Metalica</t>
  </si>
  <si>
    <t>P1 Metalica 0.90x2.03</t>
  </si>
  <si>
    <t>CANT</t>
  </si>
  <si>
    <t>V1 Metalica 1.50x1.20</t>
  </si>
  <si>
    <t>V2 Metalica 2.00×1.20</t>
  </si>
  <si>
    <t>V3 Metalica 1.20x1.40</t>
  </si>
  <si>
    <t>V4 Metalica 0.50x0.80</t>
  </si>
  <si>
    <t xml:space="preserve">V5 Metalica 2.30x 1.40 </t>
  </si>
  <si>
    <t>Carpinteria Madera</t>
  </si>
  <si>
    <t>P1 Madera 0.90x2.03</t>
  </si>
  <si>
    <t>P2 Madera 0.90x2.03</t>
  </si>
  <si>
    <t>0.80x2.03</t>
  </si>
  <si>
    <t>VIDRIOS</t>
  </si>
  <si>
    <t>V1</t>
  </si>
  <si>
    <t>V2</t>
  </si>
  <si>
    <t>V3</t>
  </si>
  <si>
    <t>V4</t>
  </si>
  <si>
    <t>V5</t>
  </si>
  <si>
    <t xml:space="preserve"> Exc para zapatas aisladas</t>
  </si>
  <si>
    <t>30x30</t>
  </si>
  <si>
    <t xml:space="preserve">V1 Metalica </t>
  </si>
  <si>
    <t xml:space="preserve">V2 Metalica </t>
  </si>
  <si>
    <t xml:space="preserve">V3 Metalica </t>
  </si>
  <si>
    <t xml:space="preserve">V4 Metalica </t>
  </si>
  <si>
    <t xml:space="preserve">V5 Metalica </t>
  </si>
  <si>
    <t xml:space="preserve">P1 Metalica </t>
  </si>
  <si>
    <t xml:space="preserve">P1 Madera </t>
  </si>
  <si>
    <t xml:space="preserve">P2 Madera </t>
  </si>
  <si>
    <t>carpinteria</t>
  </si>
  <si>
    <t>SON PESOS:  -------------------------------</t>
  </si>
  <si>
    <t>!G203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</si>
</sst>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$&quot;\ * #,##0.00_ ;_ &quot;$&quot;\ * \-#,##0.00_ ;_ &quot;$&quot;\ * &quot;-&quot;??_ ;_ @_ "/>
    <numFmt numFmtId="166" formatCode="#,##0.00&quot;$&quot;_);\(#,##0.00&quot;$&quot;\)"/>
    <numFmt numFmtId="167" formatCode="_-&quot;$&quot;* #,##0.00000_-;\-&quot;$&quot;* #,##0.00000_-;_-&quot;$&quot;* &quot;-&quot;??_-;_-@_-"/>
    <numFmt numFmtId="168" formatCode="#,##0.0"/>
    <numFmt numFmtId="169" formatCode="_-&quot;$&quot;* #,##0.00_-;\-&quot;$&quot;* #,##0.00_-;_-&quot;$&quot;* &quot;-&quot;??_-;_-@_-"/>
    <numFmt numFmtId="170" formatCode="_-&quot;$&quot;* #,##0.0000_-;\-&quot;$&quot;* #,##0.0000_-;_-&quot;$&quot;* &quot;-&quot;??_-;_-@_-"/>
    <numFmt numFmtId="171" formatCode="0.000000"/>
    <numFmt numFmtId="172" formatCode="0.000%"/>
    <numFmt numFmtId="173" formatCode="&quot;$&quot;#,##0.00\ ;\(&quot;$&quot;#,##0.00\)"/>
    <numFmt numFmtId="174" formatCode="_ [$€-2]\ * #,##0.00_ ;_ [$€-2]\ * \-#,##0.00_ ;_ [$€-2]\ * &quot;-&quot;??_ "/>
  </numFmts>
  <fonts count="24" x14ac:knownFonts="1">
    <font>
      <sz val="11"/>
      <color theme="1"/>
      <name val="Garamond"/>
      <family val="2"/>
      <scheme val="minor"/>
    </font>
    <font>
      <b/>
      <sz val="11"/>
      <color theme="1"/>
      <name val="Garamond"/>
      <family val="2"/>
      <scheme val="minor"/>
    </font>
    <font>
      <sz val="11"/>
      <color theme="1"/>
      <name val="Garamond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12"/>
      <name val="Symbol"/>
      <family val="1"/>
      <charset val="2"/>
    </font>
    <font>
      <b/>
      <sz val="20"/>
      <name val="Arial"/>
      <family val="2"/>
    </font>
    <font>
      <b/>
      <sz val="30"/>
      <name val="Times New Roman"/>
      <family val="1"/>
    </font>
    <font>
      <i/>
      <sz val="8"/>
      <name val="Courier New"/>
      <family val="3"/>
    </font>
    <font>
      <i/>
      <sz val="12"/>
      <name val="Times New Roman"/>
      <family val="1"/>
    </font>
    <font>
      <b/>
      <sz val="11"/>
      <color theme="1"/>
      <name val="Arial"/>
      <family val="2"/>
    </font>
    <font>
      <b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3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/>
      <right style="medium">
        <color rgb="FF505050"/>
      </right>
      <top style="thin">
        <color rgb="FF505050"/>
      </top>
      <bottom/>
      <diagonal/>
    </border>
  </borders>
  <cellStyleXfs count="15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351">
    <xf numFmtId="0" fontId="0" fillId="0" borderId="0" xfId="0"/>
    <xf numFmtId="0" fontId="4" fillId="0" borderId="0" xfId="0" applyFont="1"/>
    <xf numFmtId="17" fontId="4" fillId="0" borderId="0" xfId="0" applyNumberFormat="1" applyFont="1"/>
    <xf numFmtId="165" fontId="4" fillId="0" borderId="0" xfId="1" applyFont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65" fontId="4" fillId="3" borderId="4" xfId="1" applyFont="1" applyFill="1" applyBorder="1" applyAlignment="1">
      <alignment horizontal="center"/>
    </xf>
    <xf numFmtId="165" fontId="4" fillId="3" borderId="5" xfId="1" applyFont="1" applyFill="1" applyBorder="1" applyAlignment="1">
      <alignment horizontal="center"/>
    </xf>
    <xf numFmtId="0" fontId="4" fillId="0" borderId="6" xfId="0" applyFont="1" applyBorder="1"/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65" fontId="4" fillId="3" borderId="8" xfId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165" fontId="7" fillId="0" borderId="9" xfId="1" applyFont="1" applyBorder="1"/>
    <xf numFmtId="10" fontId="7" fillId="0" borderId="10" xfId="3" applyNumberFormat="1" applyFont="1" applyBorder="1" applyAlignment="1">
      <alignment horizontal="center"/>
    </xf>
    <xf numFmtId="0" fontId="4" fillId="0" borderId="0" xfId="3" applyBorder="1"/>
    <xf numFmtId="0" fontId="8" fillId="0" borderId="11" xfId="3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65" fontId="8" fillId="0" borderId="12" xfId="1" applyFont="1" applyBorder="1"/>
    <xf numFmtId="165" fontId="7" fillId="0" borderId="12" xfId="1" applyFont="1" applyBorder="1"/>
    <xf numFmtId="10" fontId="7" fillId="0" borderId="13" xfId="3" applyNumberFormat="1" applyFont="1" applyBorder="1" applyAlignment="1">
      <alignment horizontal="center"/>
    </xf>
    <xf numFmtId="0" fontId="8" fillId="0" borderId="0" xfId="3" applyFont="1" applyBorder="1"/>
    <xf numFmtId="10" fontId="7" fillId="0" borderId="13" xfId="2" applyNumberFormat="1" applyFont="1" applyBorder="1" applyAlignment="1">
      <alignment horizontal="center"/>
    </xf>
    <xf numFmtId="0" fontId="4" fillId="0" borderId="11" xfId="3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8" fillId="0" borderId="12" xfId="0" applyFont="1" applyBorder="1" applyAlignment="1">
      <alignment vertical="justify"/>
    </xf>
    <xf numFmtId="0" fontId="4" fillId="3" borderId="16" xfId="0" applyFont="1" applyFill="1" applyBorder="1" applyAlignment="1">
      <alignment horizontal="center"/>
    </xf>
    <xf numFmtId="0" fontId="9" fillId="3" borderId="17" xfId="0" applyFont="1" applyFill="1" applyBorder="1"/>
    <xf numFmtId="0" fontId="9" fillId="3" borderId="17" xfId="0" applyFont="1" applyFill="1" applyBorder="1" applyAlignment="1">
      <alignment horizontal="center"/>
    </xf>
    <xf numFmtId="165" fontId="9" fillId="4" borderId="17" xfId="1" applyFont="1" applyFill="1" applyBorder="1"/>
    <xf numFmtId="165" fontId="10" fillId="3" borderId="17" xfId="1" applyFont="1" applyFill="1" applyBorder="1"/>
    <xf numFmtId="165" fontId="11" fillId="3" borderId="18" xfId="1" applyFont="1" applyFill="1" applyBorder="1"/>
    <xf numFmtId="10" fontId="11" fillId="3" borderId="19" xfId="0" applyNumberFormat="1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65" fontId="9" fillId="0" borderId="0" xfId="1" applyFont="1" applyBorder="1"/>
    <xf numFmtId="165" fontId="10" fillId="0" borderId="0" xfId="1" applyFont="1" applyBorder="1"/>
    <xf numFmtId="165" fontId="11" fillId="0" borderId="0" xfId="1" applyFont="1" applyBorder="1"/>
    <xf numFmtId="166" fontId="12" fillId="0" borderId="21" xfId="0" applyNumberFormat="1" applyFont="1" applyBorder="1"/>
    <xf numFmtId="10" fontId="9" fillId="0" borderId="0" xfId="2" applyNumberFormat="1" applyFont="1" applyBorder="1" applyAlignment="1">
      <alignment horizontal="center"/>
    </xf>
    <xf numFmtId="165" fontId="12" fillId="0" borderId="0" xfId="1" applyFont="1" applyBorder="1"/>
    <xf numFmtId="165" fontId="11" fillId="0" borderId="22" xfId="1" applyFont="1" applyBorder="1"/>
    <xf numFmtId="165" fontId="11" fillId="0" borderId="2" xfId="1" applyFont="1" applyBorder="1"/>
    <xf numFmtId="0" fontId="9" fillId="0" borderId="20" xfId="0" applyFont="1" applyBorder="1" applyAlignment="1">
      <alignment horizontal="center"/>
    </xf>
    <xf numFmtId="165" fontId="9" fillId="3" borderId="3" xfId="1" applyFont="1" applyFill="1" applyBorder="1"/>
    <xf numFmtId="0" fontId="9" fillId="0" borderId="23" xfId="0" applyFont="1" applyBorder="1"/>
    <xf numFmtId="165" fontId="9" fillId="0" borderId="5" xfId="1" applyFont="1" applyBorder="1" applyAlignment="1">
      <alignment horizontal="center"/>
    </xf>
    <xf numFmtId="0" fontId="9" fillId="0" borderId="21" xfId="0" applyFont="1" applyBorder="1"/>
    <xf numFmtId="167" fontId="9" fillId="3" borderId="3" xfId="1" applyNumberFormat="1" applyFont="1" applyFill="1" applyBorder="1"/>
    <xf numFmtId="166" fontId="9" fillId="0" borderId="0" xfId="0" applyNumberFormat="1" applyFont="1"/>
    <xf numFmtId="165" fontId="9" fillId="0" borderId="5" xfId="1" applyFont="1" applyBorder="1"/>
    <xf numFmtId="165" fontId="9" fillId="3" borderId="17" xfId="1" applyFont="1" applyFill="1" applyBorder="1"/>
    <xf numFmtId="0" fontId="9" fillId="3" borderId="19" xfId="0" applyFont="1" applyFill="1" applyBorder="1"/>
    <xf numFmtId="0" fontId="8" fillId="0" borderId="0" xfId="0" applyFont="1"/>
    <xf numFmtId="165" fontId="7" fillId="2" borderId="0" xfId="1" applyFont="1" applyFill="1" applyBorder="1" applyAlignment="1">
      <alignment vertical="center"/>
    </xf>
    <xf numFmtId="0" fontId="13" fillId="0" borderId="0" xfId="4"/>
    <xf numFmtId="0" fontId="14" fillId="0" borderId="0" xfId="4" applyFont="1"/>
    <xf numFmtId="0" fontId="13" fillId="0" borderId="0" xfId="4" applyAlignment="1">
      <alignment horizontal="center"/>
    </xf>
    <xf numFmtId="0" fontId="7" fillId="0" borderId="0" xfId="4" applyFont="1" applyAlignment="1">
      <alignment horizontal="center"/>
    </xf>
    <xf numFmtId="0" fontId="11" fillId="0" borderId="0" xfId="4" applyFont="1"/>
    <xf numFmtId="0" fontId="7" fillId="0" borderId="0" xfId="4" applyFont="1"/>
    <xf numFmtId="17" fontId="4" fillId="0" borderId="0" xfId="4" applyNumberFormat="1" applyFont="1"/>
    <xf numFmtId="0" fontId="7" fillId="0" borderId="24" xfId="4" applyFont="1" applyBorder="1" applyAlignment="1">
      <alignment horizontal="center"/>
    </xf>
    <xf numFmtId="0" fontId="7" fillId="0" borderId="25" xfId="4" applyFont="1" applyBorder="1"/>
    <xf numFmtId="0" fontId="7" fillId="0" borderId="25" xfId="4" applyFont="1" applyBorder="1" applyAlignment="1">
      <alignment horizontal="center"/>
    </xf>
    <xf numFmtId="166" fontId="4" fillId="0" borderId="10" xfId="3" applyNumberFormat="1" applyBorder="1" applyAlignment="1">
      <alignment horizontal="center"/>
    </xf>
    <xf numFmtId="168" fontId="4" fillId="0" borderId="0" xfId="3" applyNumberFormat="1"/>
    <xf numFmtId="0" fontId="7" fillId="0" borderId="14" xfId="4" applyFont="1" applyBorder="1" applyAlignment="1">
      <alignment horizontal="center"/>
    </xf>
    <xf numFmtId="0" fontId="7" fillId="0" borderId="15" xfId="4" applyFont="1" applyBorder="1"/>
    <xf numFmtId="0" fontId="7" fillId="0" borderId="15" xfId="4" applyFont="1" applyBorder="1" applyAlignment="1">
      <alignment horizontal="center"/>
    </xf>
    <xf numFmtId="166" fontId="4" fillId="0" borderId="13" xfId="3" applyNumberFormat="1" applyBorder="1" applyAlignment="1">
      <alignment horizontal="center"/>
    </xf>
    <xf numFmtId="0" fontId="7" fillId="0" borderId="27" xfId="4" applyFont="1" applyBorder="1"/>
    <xf numFmtId="0" fontId="7" fillId="0" borderId="27" xfId="4" applyFont="1" applyBorder="1" applyAlignment="1">
      <alignment horizontal="center"/>
    </xf>
    <xf numFmtId="0" fontId="5" fillId="0" borderId="0" xfId="4" applyFont="1"/>
    <xf numFmtId="4" fontId="13" fillId="0" borderId="0" xfId="4" applyNumberFormat="1"/>
    <xf numFmtId="10" fontId="0" fillId="0" borderId="0" xfId="5" applyNumberFormat="1" applyFont="1"/>
    <xf numFmtId="170" fontId="0" fillId="0" borderId="0" xfId="6" applyNumberFormat="1" applyFont="1"/>
    <xf numFmtId="166" fontId="4" fillId="0" borderId="0" xfId="3" applyNumberFormat="1"/>
    <xf numFmtId="0" fontId="4" fillId="0" borderId="0" xfId="4" applyFont="1"/>
    <xf numFmtId="0" fontId="4" fillId="0" borderId="0" xfId="3" applyAlignment="1">
      <alignment horizontal="center"/>
    </xf>
    <xf numFmtId="0" fontId="9" fillId="0" borderId="0" xfId="4" applyFont="1"/>
    <xf numFmtId="0" fontId="15" fillId="0" borderId="0" xfId="4" applyFont="1"/>
    <xf numFmtId="17" fontId="7" fillId="0" borderId="0" xfId="4" applyNumberFormat="1" applyFont="1"/>
    <xf numFmtId="0" fontId="4" fillId="0" borderId="3" xfId="4" applyFont="1" applyBorder="1"/>
    <xf numFmtId="0" fontId="4" fillId="0" borderId="4" xfId="4" applyFont="1" applyBorder="1"/>
    <xf numFmtId="0" fontId="4" fillId="0" borderId="4" xfId="4" applyFont="1" applyBorder="1" applyAlignment="1">
      <alignment horizontal="center"/>
    </xf>
    <xf numFmtId="4" fontId="4" fillId="0" borderId="4" xfId="4" applyNumberFormat="1" applyFont="1" applyBorder="1"/>
    <xf numFmtId="166" fontId="4" fillId="0" borderId="4" xfId="4" applyNumberFormat="1" applyFont="1" applyBorder="1"/>
    <xf numFmtId="166" fontId="4" fillId="0" borderId="6" xfId="3" applyNumberFormat="1" applyBorder="1"/>
    <xf numFmtId="0" fontId="4" fillId="0" borderId="6" xfId="4" applyFont="1" applyBorder="1"/>
    <xf numFmtId="0" fontId="4" fillId="0" borderId="7" xfId="4" applyFont="1" applyBorder="1"/>
    <xf numFmtId="0" fontId="4" fillId="0" borderId="7" xfId="4" applyFont="1" applyBorder="1" applyAlignment="1">
      <alignment horizontal="center"/>
    </xf>
    <xf numFmtId="4" fontId="4" fillId="0" borderId="7" xfId="4" applyNumberFormat="1" applyFont="1" applyBorder="1"/>
    <xf numFmtId="166" fontId="4" fillId="0" borderId="7" xfId="4" applyNumberFormat="1" applyFont="1" applyBorder="1"/>
    <xf numFmtId="0" fontId="4" fillId="0" borderId="4" xfId="3" applyBorder="1"/>
    <xf numFmtId="0" fontId="8" fillId="0" borderId="28" xfId="3" applyFont="1" applyBorder="1"/>
    <xf numFmtId="0" fontId="8" fillId="0" borderId="4" xfId="3" applyFont="1" applyBorder="1" applyAlignment="1">
      <alignment horizontal="center"/>
    </xf>
    <xf numFmtId="4" fontId="8" fillId="0" borderId="4" xfId="3" applyNumberFormat="1" applyFont="1" applyBorder="1"/>
    <xf numFmtId="166" fontId="8" fillId="0" borderId="4" xfId="3" applyNumberFormat="1" applyFont="1" applyBorder="1"/>
    <xf numFmtId="166" fontId="4" fillId="0" borderId="7" xfId="3" applyNumberFormat="1" applyBorder="1"/>
    <xf numFmtId="170" fontId="7" fillId="0" borderId="0" xfId="6" applyNumberFormat="1" applyFont="1"/>
    <xf numFmtId="0" fontId="4" fillId="0" borderId="7" xfId="3" applyBorder="1"/>
    <xf numFmtId="0" fontId="8" fillId="0" borderId="29" xfId="3" applyFont="1" applyBorder="1"/>
    <xf numFmtId="0" fontId="8" fillId="0" borderId="7" xfId="3" applyFont="1" applyBorder="1" applyAlignment="1">
      <alignment horizontal="center"/>
    </xf>
    <xf numFmtId="10" fontId="8" fillId="0" borderId="7" xfId="5" applyNumberFormat="1" applyFont="1" applyBorder="1"/>
    <xf numFmtId="166" fontId="8" fillId="0" borderId="7" xfId="3" applyNumberFormat="1" applyFont="1" applyBorder="1"/>
    <xf numFmtId="0" fontId="4" fillId="0" borderId="29" xfId="3" applyBorder="1"/>
    <xf numFmtId="0" fontId="4" fillId="0" borderId="7" xfId="3" applyBorder="1" applyAlignment="1">
      <alignment horizontal="center"/>
    </xf>
    <xf numFmtId="4" fontId="4" fillId="0" borderId="7" xfId="3" applyNumberFormat="1" applyBorder="1"/>
    <xf numFmtId="0" fontId="7" fillId="0" borderId="29" xfId="4" applyFont="1" applyBorder="1"/>
    <xf numFmtId="10" fontId="4" fillId="0" borderId="7" xfId="5" applyNumberFormat="1" applyFont="1" applyBorder="1"/>
    <xf numFmtId="0" fontId="4" fillId="0" borderId="30" xfId="3" applyBorder="1"/>
    <xf numFmtId="166" fontId="4" fillId="0" borderId="8" xfId="3" applyNumberFormat="1" applyBorder="1"/>
    <xf numFmtId="0" fontId="4" fillId="0" borderId="2" xfId="3" applyBorder="1"/>
    <xf numFmtId="0" fontId="4" fillId="0" borderId="2" xfId="4" applyFont="1" applyBorder="1" applyAlignment="1">
      <alignment horizontal="center"/>
    </xf>
    <xf numFmtId="4" fontId="4" fillId="0" borderId="2" xfId="3" applyNumberFormat="1" applyBorder="1"/>
    <xf numFmtId="166" fontId="4" fillId="0" borderId="2" xfId="3" applyNumberFormat="1" applyBorder="1"/>
    <xf numFmtId="166" fontId="7" fillId="0" borderId="8" xfId="4" applyNumberFormat="1" applyFont="1" applyBorder="1"/>
    <xf numFmtId="0" fontId="16" fillId="0" borderId="0" xfId="4" applyFont="1"/>
    <xf numFmtId="10" fontId="16" fillId="0" borderId="0" xfId="5" applyNumberFormat="1" applyFont="1"/>
    <xf numFmtId="170" fontId="16" fillId="0" borderId="0" xfId="6" applyNumberFormat="1" applyFont="1"/>
    <xf numFmtId="171" fontId="16" fillId="0" borderId="0" xfId="6" applyNumberFormat="1" applyFont="1"/>
    <xf numFmtId="43" fontId="7" fillId="0" borderId="1" xfId="4" applyNumberFormat="1" applyFont="1" applyBorder="1"/>
    <xf numFmtId="43" fontId="13" fillId="0" borderId="0" xfId="4" applyNumberFormat="1"/>
    <xf numFmtId="4" fontId="4" fillId="0" borderId="0" xfId="3" applyNumberFormat="1"/>
    <xf numFmtId="0" fontId="4" fillId="0" borderId="4" xfId="3" applyBorder="1" applyAlignment="1">
      <alignment horizontal="center"/>
    </xf>
    <xf numFmtId="4" fontId="4" fillId="0" borderId="4" xfId="3" applyNumberFormat="1" applyBorder="1"/>
    <xf numFmtId="166" fontId="4" fillId="0" borderId="4" xfId="3" applyNumberFormat="1" applyBorder="1" applyAlignment="1">
      <alignment horizontal="right"/>
    </xf>
    <xf numFmtId="166" fontId="4" fillId="0" borderId="28" xfId="3" applyNumberFormat="1" applyBorder="1" applyAlignment="1">
      <alignment horizontal="right"/>
    </xf>
    <xf numFmtId="166" fontId="4" fillId="0" borderId="7" xfId="3" applyNumberFormat="1" applyBorder="1" applyAlignment="1">
      <alignment horizontal="right"/>
    </xf>
    <xf numFmtId="166" fontId="4" fillId="0" borderId="29" xfId="3" applyNumberFormat="1" applyBorder="1" applyAlignment="1">
      <alignment horizontal="right"/>
    </xf>
    <xf numFmtId="166" fontId="4" fillId="0" borderId="2" xfId="4" applyNumberFormat="1" applyFont="1" applyBorder="1"/>
    <xf numFmtId="172" fontId="0" fillId="0" borderId="0" xfId="5" applyNumberFormat="1" applyFont="1"/>
    <xf numFmtId="166" fontId="4" fillId="0" borderId="4" xfId="3" applyNumberFormat="1" applyBorder="1"/>
    <xf numFmtId="166" fontId="4" fillId="0" borderId="31" xfId="4" applyNumberFormat="1" applyFont="1" applyBorder="1"/>
    <xf numFmtId="0" fontId="4" fillId="0" borderId="20" xfId="3" applyBorder="1"/>
    <xf numFmtId="166" fontId="4" fillId="0" borderId="32" xfId="3" applyNumberFormat="1" applyBorder="1"/>
    <xf numFmtId="166" fontId="4" fillId="0" borderId="29" xfId="3" applyNumberFormat="1" applyBorder="1"/>
    <xf numFmtId="166" fontId="4" fillId="0" borderId="33" xfId="4" applyNumberFormat="1" applyFont="1" applyBorder="1"/>
    <xf numFmtId="0" fontId="4" fillId="0" borderId="34" xfId="4" applyFont="1" applyBorder="1"/>
    <xf numFmtId="0" fontId="4" fillId="0" borderId="35" xfId="4" applyFont="1" applyBorder="1"/>
    <xf numFmtId="0" fontId="4" fillId="0" borderId="35" xfId="4" applyFont="1" applyBorder="1" applyAlignment="1">
      <alignment horizontal="center"/>
    </xf>
    <xf numFmtId="4" fontId="4" fillId="0" borderId="35" xfId="4" applyNumberFormat="1" applyFont="1" applyBorder="1"/>
    <xf numFmtId="166" fontId="4" fillId="0" borderId="35" xfId="4" applyNumberFormat="1" applyFont="1" applyBorder="1"/>
    <xf numFmtId="166" fontId="4" fillId="0" borderId="36" xfId="4" applyNumberFormat="1" applyFont="1" applyBorder="1"/>
    <xf numFmtId="166" fontId="4" fillId="0" borderId="4" xfId="3" applyNumberFormat="1" applyBorder="1" applyAlignment="1">
      <alignment horizontal="center"/>
    </xf>
    <xf numFmtId="166" fontId="4" fillId="0" borderId="7" xfId="3" applyNumberFormat="1" applyBorder="1" applyAlignment="1">
      <alignment horizontal="center"/>
    </xf>
    <xf numFmtId="169" fontId="0" fillId="0" borderId="0" xfId="6" applyFont="1"/>
    <xf numFmtId="0" fontId="4" fillId="0" borderId="2" xfId="3" applyBorder="1" applyAlignment="1">
      <alignment horizontal="center"/>
    </xf>
    <xf numFmtId="0" fontId="7" fillId="0" borderId="0" xfId="3" applyFont="1" applyAlignment="1">
      <alignment horizontal="center"/>
    </xf>
    <xf numFmtId="168" fontId="7" fillId="0" borderId="0" xfId="3" applyNumberFormat="1" applyFont="1"/>
    <xf numFmtId="166" fontId="7" fillId="0" borderId="0" xfId="3" applyNumberFormat="1" applyFont="1"/>
    <xf numFmtId="10" fontId="7" fillId="0" borderId="0" xfId="5" applyNumberFormat="1" applyFont="1"/>
    <xf numFmtId="0" fontId="7" fillId="0" borderId="3" xfId="4" applyFont="1" applyBorder="1"/>
    <xf numFmtId="0" fontId="7" fillId="0" borderId="4" xfId="4" applyFont="1" applyBorder="1"/>
    <xf numFmtId="0" fontId="7" fillId="0" borderId="4" xfId="4" applyFont="1" applyBorder="1" applyAlignment="1">
      <alignment horizontal="center"/>
    </xf>
    <xf numFmtId="168" fontId="7" fillId="0" borderId="4" xfId="4" applyNumberFormat="1" applyFont="1" applyBorder="1"/>
    <xf numFmtId="166" fontId="7" fillId="0" borderId="4" xfId="4" applyNumberFormat="1" applyFont="1" applyBorder="1"/>
    <xf numFmtId="166" fontId="7" fillId="0" borderId="6" xfId="3" applyNumberFormat="1" applyFont="1" applyBorder="1"/>
    <xf numFmtId="0" fontId="7" fillId="0" borderId="6" xfId="4" applyFont="1" applyBorder="1"/>
    <xf numFmtId="0" fontId="7" fillId="0" borderId="7" xfId="4" applyFont="1" applyBorder="1"/>
    <xf numFmtId="0" fontId="7" fillId="0" borderId="7" xfId="4" applyFont="1" applyBorder="1" applyAlignment="1">
      <alignment horizontal="center"/>
    </xf>
    <xf numFmtId="168" fontId="7" fillId="0" borderId="7" xfId="4" applyNumberFormat="1" applyFont="1" applyBorder="1"/>
    <xf numFmtId="166" fontId="7" fillId="0" borderId="7" xfId="4" applyNumberFormat="1" applyFont="1" applyBorder="1"/>
    <xf numFmtId="0" fontId="7" fillId="0" borderId="4" xfId="3" applyFont="1" applyBorder="1"/>
    <xf numFmtId="0" fontId="7" fillId="0" borderId="28" xfId="3" applyFont="1" applyBorder="1"/>
    <xf numFmtId="0" fontId="7" fillId="0" borderId="4" xfId="3" applyFont="1" applyBorder="1" applyAlignment="1">
      <alignment horizontal="center"/>
    </xf>
    <xf numFmtId="2" fontId="7" fillId="0" borderId="4" xfId="3" applyNumberFormat="1" applyFont="1" applyBorder="1"/>
    <xf numFmtId="166" fontId="7" fillId="0" borderId="4" xfId="3" applyNumberFormat="1" applyFont="1" applyBorder="1"/>
    <xf numFmtId="166" fontId="7" fillId="0" borderId="7" xfId="3" applyNumberFormat="1" applyFont="1" applyBorder="1"/>
    <xf numFmtId="0" fontId="7" fillId="0" borderId="7" xfId="3" applyFont="1" applyBorder="1"/>
    <xf numFmtId="0" fontId="7" fillId="0" borderId="29" xfId="3" applyFont="1" applyBorder="1"/>
    <xf numFmtId="0" fontId="7" fillId="0" borderId="7" xfId="3" applyFont="1" applyBorder="1" applyAlignment="1">
      <alignment horizontal="center"/>
    </xf>
    <xf numFmtId="2" fontId="7" fillId="0" borderId="7" xfId="3" applyNumberFormat="1" applyFont="1" applyBorder="1"/>
    <xf numFmtId="0" fontId="7" fillId="0" borderId="2" xfId="3" applyFont="1" applyBorder="1"/>
    <xf numFmtId="0" fontId="7" fillId="0" borderId="2" xfId="4" applyFont="1" applyBorder="1" applyAlignment="1">
      <alignment horizontal="center"/>
    </xf>
    <xf numFmtId="168" fontId="7" fillId="0" borderId="2" xfId="3" applyNumberFormat="1" applyFont="1" applyBorder="1"/>
    <xf numFmtId="166" fontId="7" fillId="0" borderId="2" xfId="3" applyNumberFormat="1" applyFont="1" applyBorder="1"/>
    <xf numFmtId="166" fontId="7" fillId="0" borderId="2" xfId="4" applyNumberFormat="1" applyFont="1" applyBorder="1"/>
    <xf numFmtId="166" fontId="7" fillId="0" borderId="8" xfId="3" applyNumberFormat="1" applyFont="1" applyBorder="1"/>
    <xf numFmtId="168" fontId="7" fillId="0" borderId="4" xfId="3" applyNumberFormat="1" applyFont="1" applyBorder="1"/>
    <xf numFmtId="168" fontId="7" fillId="0" borderId="7" xfId="3" applyNumberFormat="1" applyFont="1" applyBorder="1"/>
    <xf numFmtId="166" fontId="7" fillId="0" borderId="31" xfId="4" applyNumberFormat="1" applyFont="1" applyBorder="1"/>
    <xf numFmtId="0" fontId="7" fillId="0" borderId="20" xfId="3" applyFont="1" applyBorder="1"/>
    <xf numFmtId="0" fontId="13" fillId="0" borderId="0" xfId="3" applyFont="1" applyAlignment="1">
      <alignment horizontal="center"/>
    </xf>
    <xf numFmtId="168" fontId="13" fillId="0" borderId="0" xfId="3" applyNumberFormat="1" applyFont="1"/>
    <xf numFmtId="166" fontId="13" fillId="0" borderId="0" xfId="3" applyNumberFormat="1" applyFont="1"/>
    <xf numFmtId="166" fontId="13" fillId="0" borderId="32" xfId="3" applyNumberFormat="1" applyFont="1" applyBorder="1"/>
    <xf numFmtId="10" fontId="4" fillId="0" borderId="0" xfId="3" applyNumberFormat="1"/>
    <xf numFmtId="0" fontId="4" fillId="0" borderId="32" xfId="3" applyBorder="1"/>
    <xf numFmtId="4" fontId="7" fillId="0" borderId="0" xfId="3" applyNumberFormat="1" applyFont="1"/>
    <xf numFmtId="4" fontId="7" fillId="0" borderId="0" xfId="4" applyNumberFormat="1" applyFont="1"/>
    <xf numFmtId="0" fontId="7" fillId="0" borderId="32" xfId="3" applyFont="1" applyBorder="1"/>
    <xf numFmtId="0" fontId="7" fillId="0" borderId="30" xfId="3" applyFont="1" applyBorder="1"/>
    <xf numFmtId="166" fontId="7" fillId="0" borderId="33" xfId="4" applyNumberFormat="1" applyFont="1" applyBorder="1"/>
    <xf numFmtId="0" fontId="7" fillId="0" borderId="34" xfId="4" applyFont="1" applyBorder="1"/>
    <xf numFmtId="0" fontId="7" fillId="0" borderId="35" xfId="4" applyFont="1" applyBorder="1"/>
    <xf numFmtId="0" fontId="7" fillId="0" borderId="35" xfId="4" applyFont="1" applyBorder="1" applyAlignment="1">
      <alignment horizontal="center"/>
    </xf>
    <xf numFmtId="168" fontId="7" fillId="0" borderId="35" xfId="4" applyNumberFormat="1" applyFont="1" applyBorder="1"/>
    <xf numFmtId="166" fontId="7" fillId="0" borderId="35" xfId="4" applyNumberFormat="1" applyFont="1" applyBorder="1"/>
    <xf numFmtId="166" fontId="7" fillId="0" borderId="36" xfId="4" applyNumberFormat="1" applyFont="1" applyBorder="1"/>
    <xf numFmtId="169" fontId="0" fillId="0" borderId="0" xfId="6" applyFont="1" applyAlignment="1">
      <alignment horizontal="center"/>
    </xf>
    <xf numFmtId="2" fontId="0" fillId="0" borderId="0" xfId="6" applyNumberFormat="1" applyFont="1" applyAlignment="1">
      <alignment horizontal="center"/>
    </xf>
    <xf numFmtId="1" fontId="13" fillId="0" borderId="0" xfId="4" applyNumberFormat="1" applyAlignment="1">
      <alignment horizontal="center" vertical="center"/>
    </xf>
    <xf numFmtId="2" fontId="13" fillId="0" borderId="0" xfId="4" applyNumberFormat="1" applyAlignment="1">
      <alignment horizontal="center" vertical="center"/>
    </xf>
    <xf numFmtId="173" fontId="13" fillId="0" borderId="0" xfId="4" applyNumberFormat="1"/>
    <xf numFmtId="169" fontId="4" fillId="0" borderId="4" xfId="6" applyFont="1" applyBorder="1" applyAlignment="1">
      <alignment horizontal="center"/>
    </xf>
    <xf numFmtId="169" fontId="0" fillId="0" borderId="6" xfId="6" applyFont="1" applyBorder="1"/>
    <xf numFmtId="169" fontId="4" fillId="0" borderId="7" xfId="6" applyFont="1" applyBorder="1"/>
    <xf numFmtId="169" fontId="4" fillId="0" borderId="7" xfId="6" applyFont="1" applyBorder="1" applyAlignment="1">
      <alignment horizontal="center"/>
    </xf>
    <xf numFmtId="0" fontId="13" fillId="0" borderId="4" xfId="4" applyBorder="1"/>
    <xf numFmtId="0" fontId="13" fillId="0" borderId="4" xfId="4" applyBorder="1" applyAlignment="1">
      <alignment horizontal="center"/>
    </xf>
    <xf numFmtId="4" fontId="13" fillId="0" borderId="4" xfId="4" applyNumberFormat="1" applyBorder="1"/>
    <xf numFmtId="169" fontId="0" fillId="0" borderId="4" xfId="6" applyFont="1" applyBorder="1"/>
    <xf numFmtId="169" fontId="0" fillId="0" borderId="4" xfId="6" applyFont="1" applyBorder="1" applyAlignment="1">
      <alignment horizontal="center"/>
    </xf>
    <xf numFmtId="169" fontId="0" fillId="0" borderId="7" xfId="6" applyFont="1" applyBorder="1"/>
    <xf numFmtId="0" fontId="13" fillId="0" borderId="7" xfId="4" applyBorder="1"/>
    <xf numFmtId="0" fontId="13" fillId="0" borderId="7" xfId="4" applyBorder="1" applyAlignment="1">
      <alignment horizontal="center"/>
    </xf>
    <xf numFmtId="4" fontId="13" fillId="0" borderId="7" xfId="4" applyNumberFormat="1" applyBorder="1"/>
    <xf numFmtId="0" fontId="0" fillId="0" borderId="7" xfId="6" applyNumberFormat="1" applyFont="1" applyBorder="1"/>
    <xf numFmtId="169" fontId="0" fillId="0" borderId="7" xfId="6" applyFont="1" applyBorder="1" applyAlignment="1">
      <alignment horizontal="center"/>
    </xf>
    <xf numFmtId="0" fontId="15" fillId="0" borderId="7" xfId="4" applyFont="1" applyBorder="1"/>
    <xf numFmtId="169" fontId="0" fillId="0" borderId="29" xfId="6" applyFont="1" applyBorder="1" applyAlignment="1">
      <alignment horizontal="center"/>
    </xf>
    <xf numFmtId="169" fontId="0" fillId="0" borderId="0" xfId="6" applyFont="1" applyBorder="1"/>
    <xf numFmtId="169" fontId="0" fillId="0" borderId="15" xfId="6" applyFont="1" applyBorder="1" applyAlignment="1">
      <alignment horizontal="center"/>
    </xf>
    <xf numFmtId="169" fontId="8" fillId="0" borderId="7" xfId="6" applyFont="1" applyBorder="1"/>
    <xf numFmtId="169" fontId="7" fillId="0" borderId="15" xfId="6" applyFont="1" applyBorder="1" applyAlignment="1">
      <alignment horizontal="center"/>
    </xf>
    <xf numFmtId="0" fontId="13" fillId="0" borderId="2" xfId="4" applyBorder="1"/>
    <xf numFmtId="4" fontId="13" fillId="0" borderId="2" xfId="4" applyNumberFormat="1" applyBorder="1"/>
    <xf numFmtId="169" fontId="0" fillId="0" borderId="2" xfId="6" applyFont="1" applyBorder="1"/>
    <xf numFmtId="169" fontId="8" fillId="0" borderId="15" xfId="6" applyFont="1" applyBorder="1"/>
    <xf numFmtId="169" fontId="0" fillId="0" borderId="15" xfId="6" applyFont="1" applyBorder="1"/>
    <xf numFmtId="169" fontId="4" fillId="0" borderId="4" xfId="6" applyFont="1" applyBorder="1"/>
    <xf numFmtId="169" fontId="8" fillId="0" borderId="28" xfId="6" applyFont="1" applyBorder="1"/>
    <xf numFmtId="169" fontId="8" fillId="0" borderId="30" xfId="6" applyFont="1" applyBorder="1"/>
    <xf numFmtId="169" fontId="13" fillId="0" borderId="0" xfId="6"/>
    <xf numFmtId="169" fontId="4" fillId="0" borderId="18" xfId="6" applyFont="1" applyBorder="1"/>
    <xf numFmtId="173" fontId="4" fillId="0" borderId="37" xfId="4" applyNumberFormat="1" applyFont="1" applyBorder="1"/>
    <xf numFmtId="0" fontId="13" fillId="0" borderId="26" xfId="4" applyBorder="1"/>
    <xf numFmtId="164" fontId="13" fillId="0" borderId="15" xfId="4" applyNumberFormat="1" applyBorder="1"/>
    <xf numFmtId="43" fontId="13" fillId="0" borderId="15" xfId="4" applyNumberFormat="1" applyBorder="1"/>
    <xf numFmtId="169" fontId="0" fillId="0" borderId="32" xfId="6" applyFont="1" applyBorder="1"/>
    <xf numFmtId="169" fontId="0" fillId="0" borderId="28" xfId="6" applyFont="1" applyBorder="1"/>
    <xf numFmtId="169" fontId="13" fillId="0" borderId="7" xfId="6" applyBorder="1"/>
    <xf numFmtId="166" fontId="0" fillId="0" borderId="7" xfId="6" applyNumberFormat="1" applyFont="1" applyBorder="1"/>
    <xf numFmtId="0" fontId="7" fillId="0" borderId="0" xfId="0" applyFont="1"/>
    <xf numFmtId="0" fontId="11" fillId="0" borderId="0" xfId="0" applyFont="1"/>
    <xf numFmtId="0" fontId="7" fillId="0" borderId="3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4" fontId="7" fillId="0" borderId="4" xfId="0" applyNumberFormat="1" applyFont="1" applyBorder="1"/>
    <xf numFmtId="166" fontId="7" fillId="0" borderId="4" xfId="0" applyNumberFormat="1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4" fontId="7" fillId="0" borderId="7" xfId="0" applyNumberFormat="1" applyFont="1" applyBorder="1"/>
    <xf numFmtId="166" fontId="7" fillId="0" borderId="7" xfId="0" applyNumberFormat="1" applyFont="1" applyBorder="1"/>
    <xf numFmtId="4" fontId="7" fillId="0" borderId="4" xfId="3" applyNumberFormat="1" applyFont="1" applyBorder="1"/>
    <xf numFmtId="166" fontId="7" fillId="0" borderId="4" xfId="3" applyNumberFormat="1" applyFont="1" applyBorder="1" applyAlignment="1">
      <alignment horizontal="right"/>
    </xf>
    <xf numFmtId="166" fontId="7" fillId="0" borderId="28" xfId="3" applyNumberFormat="1" applyFont="1" applyBorder="1" applyAlignment="1">
      <alignment horizontal="right"/>
    </xf>
    <xf numFmtId="4" fontId="7" fillId="0" borderId="7" xfId="3" applyNumberFormat="1" applyFont="1" applyBorder="1"/>
    <xf numFmtId="166" fontId="7" fillId="0" borderId="7" xfId="3" applyNumberFormat="1" applyFont="1" applyBorder="1" applyAlignment="1">
      <alignment horizontal="right"/>
    </xf>
    <xf numFmtId="166" fontId="7" fillId="0" borderId="29" xfId="3" applyNumberFormat="1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4" fontId="7" fillId="0" borderId="2" xfId="3" applyNumberFormat="1" applyFont="1" applyBorder="1"/>
    <xf numFmtId="166" fontId="7" fillId="0" borderId="2" xfId="0" applyNumberFormat="1" applyFont="1" applyBorder="1"/>
    <xf numFmtId="166" fontId="7" fillId="0" borderId="0" xfId="3" applyNumberFormat="1" applyFont="1" applyBorder="1"/>
    <xf numFmtId="165" fontId="4" fillId="0" borderId="0" xfId="1" applyFont="1" applyBorder="1"/>
    <xf numFmtId="0" fontId="3" fillId="0" borderId="0" xfId="0" applyFont="1"/>
    <xf numFmtId="0" fontId="11" fillId="2" borderId="0" xfId="0" applyFont="1" applyFill="1" applyAlignment="1">
      <alignment horizontal="center" vertical="center"/>
    </xf>
    <xf numFmtId="0" fontId="7" fillId="0" borderId="18" xfId="4" applyFont="1" applyBorder="1" applyAlignment="1">
      <alignment horizontal="center" vertical="center"/>
    </xf>
    <xf numFmtId="0" fontId="7" fillId="0" borderId="42" xfId="4" applyFont="1" applyBorder="1" applyAlignment="1">
      <alignment horizontal="center" vertical="center"/>
    </xf>
    <xf numFmtId="166" fontId="7" fillId="0" borderId="42" xfId="3" applyNumberFormat="1" applyFont="1" applyBorder="1" applyAlignment="1">
      <alignment horizontal="center" vertical="center"/>
    </xf>
    <xf numFmtId="0" fontId="7" fillId="0" borderId="38" xfId="4" applyFont="1" applyBorder="1" applyAlignment="1">
      <alignment horizontal="center"/>
    </xf>
    <xf numFmtId="17" fontId="4" fillId="0" borderId="40" xfId="4" applyNumberFormat="1" applyFont="1" applyBorder="1"/>
    <xf numFmtId="166" fontId="7" fillId="0" borderId="1" xfId="0" applyNumberFormat="1" applyFont="1" applyBorder="1"/>
    <xf numFmtId="166" fontId="7" fillId="0" borderId="15" xfId="3" applyNumberFormat="1" applyFont="1" applyBorder="1"/>
    <xf numFmtId="166" fontId="4" fillId="0" borderId="4" xfId="3" applyNumberFormat="1" applyFill="1" applyBorder="1"/>
    <xf numFmtId="166" fontId="4" fillId="0" borderId="7" xfId="3" applyNumberForma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0" fillId="0" borderId="0" xfId="0" applyAlignment="1">
      <alignment horizontal="left"/>
    </xf>
    <xf numFmtId="4" fontId="4" fillId="0" borderId="0" xfId="0" applyNumberFormat="1" applyFont="1" applyAlignment="1">
      <alignment horizontal="center"/>
    </xf>
    <xf numFmtId="4" fontId="9" fillId="3" borderId="17" xfId="0" applyNumberFormat="1" applyFont="1" applyFill="1" applyBorder="1" applyAlignment="1">
      <alignment horizontal="center"/>
    </xf>
    <xf numFmtId="4" fontId="9" fillId="0" borderId="0" xfId="0" applyNumberFormat="1" applyFont="1" applyAlignment="1">
      <alignment horizontal="center"/>
    </xf>
    <xf numFmtId="0" fontId="0" fillId="0" borderId="43" xfId="0" applyBorder="1" applyAlignment="1">
      <alignment horizontal="left"/>
    </xf>
    <xf numFmtId="44" fontId="8" fillId="0" borderId="12" xfId="1" applyNumberFormat="1" applyFont="1" applyBorder="1"/>
    <xf numFmtId="0" fontId="1" fillId="7" borderId="44" xfId="0" applyFont="1" applyFill="1" applyBorder="1"/>
    <xf numFmtId="0" fontId="0" fillId="0" borderId="45" xfId="0" applyBorder="1"/>
    <xf numFmtId="0" fontId="0" fillId="0" borderId="46" xfId="0" applyBorder="1"/>
    <xf numFmtId="0" fontId="0" fillId="0" borderId="48" xfId="0" applyBorder="1"/>
    <xf numFmtId="0" fontId="0" fillId="0" borderId="47" xfId="0" applyBorder="1"/>
    <xf numFmtId="0" fontId="0" fillId="7" borderId="0" xfId="0" applyFill="1"/>
    <xf numFmtId="0" fontId="0" fillId="0" borderId="0" xfId="0" applyAlignment="1">
      <alignment wrapText="1"/>
    </xf>
    <xf numFmtId="0" fontId="0" fillId="9" borderId="0" xfId="0" applyFill="1"/>
    <xf numFmtId="0" fontId="0" fillId="0" borderId="49" xfId="0" applyBorder="1"/>
    <xf numFmtId="0" fontId="0" fillId="7" borderId="51" xfId="0" applyFill="1" applyBorder="1"/>
    <xf numFmtId="0" fontId="0" fillId="7" borderId="52" xfId="0" applyFill="1" applyBorder="1"/>
    <xf numFmtId="0" fontId="0" fillId="0" borderId="53" xfId="0" applyBorder="1"/>
    <xf numFmtId="0" fontId="0" fillId="0" borderId="54" xfId="0" applyBorder="1"/>
    <xf numFmtId="0" fontId="1" fillId="7" borderId="46" xfId="0" applyFont="1" applyFill="1" applyBorder="1"/>
    <xf numFmtId="0" fontId="1" fillId="7" borderId="55" xfId="0" applyFont="1" applyFill="1" applyBorder="1"/>
    <xf numFmtId="0" fontId="1" fillId="7" borderId="50" xfId="0" applyFont="1" applyFill="1" applyBorder="1"/>
    <xf numFmtId="0" fontId="0" fillId="10" borderId="0" xfId="0" applyFill="1" applyAlignment="1">
      <alignment horizontal="left"/>
    </xf>
    <xf numFmtId="0" fontId="0" fillId="10" borderId="0" xfId="0" applyFill="1"/>
    <xf numFmtId="165" fontId="7" fillId="0" borderId="58" xfId="1" applyFont="1" applyBorder="1"/>
    <xf numFmtId="165" fontId="8" fillId="0" borderId="37" xfId="1" applyFont="1" applyBorder="1"/>
    <xf numFmtId="165" fontId="7" fillId="0" borderId="37" xfId="1" applyFont="1" applyBorder="1"/>
    <xf numFmtId="4" fontId="9" fillId="3" borderId="59" xfId="0" applyNumberFormat="1" applyFont="1" applyFill="1" applyBorder="1" applyAlignment="1">
      <alignment horizontal="center"/>
    </xf>
    <xf numFmtId="4" fontId="4" fillId="3" borderId="64" xfId="0" applyNumberFormat="1" applyFont="1" applyFill="1" applyBorder="1" applyAlignment="1">
      <alignment horizontal="center"/>
    </xf>
    <xf numFmtId="4" fontId="4" fillId="3" borderId="65" xfId="0" applyNumberFormat="1" applyFont="1" applyFill="1" applyBorder="1" applyAlignment="1">
      <alignment horizontal="center"/>
    </xf>
    <xf numFmtId="165" fontId="4" fillId="3" borderId="0" xfId="1" applyFont="1" applyFill="1" applyBorder="1" applyAlignment="1">
      <alignment horizontal="center"/>
    </xf>
    <xf numFmtId="4" fontId="7" fillId="0" borderId="56" xfId="0" applyNumberFormat="1" applyFont="1" applyBorder="1" applyAlignment="1">
      <alignment horizontal="center"/>
    </xf>
    <xf numFmtId="0" fontId="22" fillId="0" borderId="60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/>
    </xf>
    <xf numFmtId="0" fontId="22" fillId="0" borderId="62" xfId="0" applyFont="1" applyBorder="1" applyAlignment="1">
      <alignment horizontal="center"/>
    </xf>
    <xf numFmtId="0" fontId="22" fillId="0" borderId="60" xfId="0" applyFont="1" applyBorder="1" applyAlignment="1">
      <alignment horizontal="center"/>
    </xf>
    <xf numFmtId="4" fontId="23" fillId="0" borderId="63" xfId="0" applyNumberFormat="1" applyFont="1" applyBorder="1" applyAlignment="1">
      <alignment horizontal="center"/>
    </xf>
    <xf numFmtId="4" fontId="23" fillId="0" borderId="57" xfId="0" applyNumberFormat="1" applyFont="1" applyBorder="1" applyAlignment="1">
      <alignment horizontal="center"/>
    </xf>
    <xf numFmtId="4" fontId="23" fillId="0" borderId="61" xfId="0" applyNumberFormat="1" applyFont="1" applyBorder="1" applyAlignment="1">
      <alignment horizontal="center"/>
    </xf>
    <xf numFmtId="0" fontId="0" fillId="8" borderId="64" xfId="0" applyFill="1" applyBorder="1"/>
    <xf numFmtId="0" fontId="0" fillId="8" borderId="66" xfId="0" applyFill="1" applyBorder="1"/>
    <xf numFmtId="0" fontId="0" fillId="7" borderId="67" xfId="0" applyFill="1" applyBorder="1"/>
    <xf numFmtId="0" fontId="0" fillId="8" borderId="65" xfId="0" applyFill="1" applyBorder="1"/>
    <xf numFmtId="0" fontId="8" fillId="0" borderId="12" xfId="1" applyNumberFormat="1" applyFont="1" applyBorder="1"/>
    <xf numFmtId="0" fontId="8" fillId="0" borderId="0" xfId="4" applyFont="1"/>
    <xf numFmtId="0" fontId="3" fillId="0" borderId="12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12" xfId="0" applyFont="1" applyBorder="1"/>
    <xf numFmtId="0" fontId="3" fillId="0" borderId="37" xfId="0" applyFont="1" applyBorder="1"/>
    <xf numFmtId="0" fontId="3" fillId="0" borderId="26" xfId="0" applyFont="1" applyBorder="1"/>
    <xf numFmtId="0" fontId="14" fillId="5" borderId="12" xfId="4" applyFont="1" applyFill="1" applyBorder="1" applyAlignment="1">
      <alignment horizontal="center" vertical="center"/>
    </xf>
    <xf numFmtId="0" fontId="14" fillId="5" borderId="37" xfId="4" applyFont="1" applyFill="1" applyBorder="1" applyAlignment="1">
      <alignment horizontal="center" vertical="center"/>
    </xf>
    <xf numFmtId="0" fontId="14" fillId="5" borderId="26" xfId="4" applyFont="1" applyFill="1" applyBorder="1" applyAlignment="1">
      <alignment horizontal="center" vertical="center"/>
    </xf>
    <xf numFmtId="0" fontId="3" fillId="5" borderId="38" xfId="4" applyFont="1" applyFill="1" applyBorder="1" applyAlignment="1">
      <alignment horizontal="center" vertical="center"/>
    </xf>
    <xf numFmtId="0" fontId="3" fillId="5" borderId="39" xfId="4" applyFont="1" applyFill="1" applyBorder="1" applyAlignment="1">
      <alignment horizontal="center" vertical="center"/>
    </xf>
    <xf numFmtId="0" fontId="3" fillId="5" borderId="41" xfId="4" applyFont="1" applyFill="1" applyBorder="1" applyAlignment="1">
      <alignment horizontal="center" vertical="center"/>
    </xf>
    <xf numFmtId="0" fontId="3" fillId="0" borderId="0" xfId="0" applyFont="1"/>
    <xf numFmtId="165" fontId="4" fillId="2" borderId="12" xfId="1" applyFont="1" applyFill="1" applyBorder="1" applyAlignment="1">
      <alignment horizontal="center"/>
    </xf>
    <xf numFmtId="165" fontId="4" fillId="2" borderId="26" xfId="1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</cellXfs>
  <cellStyles count="15">
    <cellStyle name="Euro" xfId="7" xr:uid="{00000000-0005-0000-0000-000000000000}"/>
    <cellStyle name="F2" xfId="8" xr:uid="{00000000-0005-0000-0000-000001000000}"/>
    <cellStyle name="F3" xfId="9" xr:uid="{00000000-0005-0000-0000-000002000000}"/>
    <cellStyle name="F4" xfId="10" xr:uid="{00000000-0005-0000-0000-000003000000}"/>
    <cellStyle name="F5" xfId="11" xr:uid="{00000000-0005-0000-0000-000004000000}"/>
    <cellStyle name="F6" xfId="12" xr:uid="{00000000-0005-0000-0000-000005000000}"/>
    <cellStyle name="F7" xfId="13" xr:uid="{00000000-0005-0000-0000-000006000000}"/>
    <cellStyle name="F8" xfId="14" xr:uid="{00000000-0005-0000-0000-000007000000}"/>
    <cellStyle name="Moneda" xfId="1" builtinId="4"/>
    <cellStyle name="Moneda 2" xfId="6" xr:uid="{00000000-0005-0000-0000-000009000000}"/>
    <cellStyle name="Normal" xfId="0" builtinId="0"/>
    <cellStyle name="normal 2" xfId="3" xr:uid="{00000000-0005-0000-0000-00000B000000}"/>
    <cellStyle name="Normal 3" xfId="4" xr:uid="{00000000-0005-0000-0000-00000C000000}"/>
    <cellStyle name="Porcentaje" xfId="2" builtinId="5"/>
    <cellStyle name="Porcentaje 2" xfId="5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977900</xdr:colOff>
      <xdr:row>18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400800" y="303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AR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OBRAS%20EN%20EJECUCION\40%20VIV%20VILLA%20ANGELA\PPTO_40VIV_VANGELA_actualiz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3"/>
      <sheetName val="pl1"/>
      <sheetName val="pl2"/>
      <sheetName val="2 DORM"/>
      <sheetName val="CUADRO_E"/>
      <sheetName val="RESUMEN"/>
      <sheetName val="PLAN DE TRABAJOS"/>
      <sheetName val="CRONOGRAMA"/>
      <sheetName val="ANALISI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3">
          <cell r="C13" t="str">
            <v>Seguro Obrero</v>
          </cell>
          <cell r="D13" t="str">
            <v>hs</v>
          </cell>
        </row>
      </sheetData>
    </sheetDataSet>
  </externalBook>
</externalLink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ánico">
  <a:themeElements>
    <a:clrScheme name="Orgánico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ánico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ánico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98"/>
  <sheetViews>
    <sheetView showOutlineSymbols="0" view="pageBreakPreview" zoomScaleNormal="100" zoomScaleSheetLayoutView="100" workbookViewId="0">
      <selection activeCell="D104" sqref="D104"/>
    </sheetView>
  </sheetViews>
  <sheetFormatPr baseColWidth="10" defaultColWidth="11.375" defaultRowHeight="13.2" x14ac:dyDescent="0.25"/>
  <cols>
    <col min="1" max="1" width="6.875" style="56" customWidth="1"/>
    <col min="2" max="2" width="10.625" style="58" customWidth="1"/>
    <col min="3" max="3" width="42.125" style="56" customWidth="1"/>
    <col min="4" max="4" width="32.75" style="56" customWidth="1"/>
    <col min="5" max="5" width="11.375" style="58"/>
    <col min="6" max="6" width="47.125" style="58" customWidth="1"/>
    <col min="7" max="7" width="2.875" style="56" customWidth="1"/>
    <col min="8" max="16384" width="11.375" style="56"/>
  </cols>
  <sheetData>
    <row r="1" spans="1:7" ht="17.399999999999999" x14ac:dyDescent="0.3">
      <c r="A1" s="333" t="s">
        <v>345</v>
      </c>
      <c r="B1" s="334"/>
      <c r="C1" s="334"/>
      <c r="D1" s="334"/>
      <c r="E1" s="334"/>
      <c r="F1" s="335"/>
    </row>
    <row r="2" spans="1:7" ht="6" customHeight="1" x14ac:dyDescent="0.3">
      <c r="A2"/>
      <c r="B2" s="269"/>
      <c r="C2"/>
      <c r="D2"/>
      <c r="E2"/>
      <c r="F2"/>
    </row>
    <row r="3" spans="1:7" ht="17.399999999999999" x14ac:dyDescent="0.3">
      <c r="A3" s="336" t="s">
        <v>22</v>
      </c>
      <c r="B3" s="337"/>
      <c r="C3" s="337"/>
      <c r="D3" s="337"/>
      <c r="E3" s="337"/>
      <c r="F3" s="338"/>
    </row>
    <row r="4" spans="1:7" ht="21.6" thickBot="1" x14ac:dyDescent="0.45">
      <c r="B4" s="57"/>
      <c r="F4" s="59"/>
    </row>
    <row r="5" spans="1:7" s="61" customFormat="1" ht="27.75" customHeight="1" thickBot="1" x14ac:dyDescent="0.3">
      <c r="A5" s="56" t="s">
        <v>21</v>
      </c>
      <c r="B5" s="59"/>
      <c r="C5" s="342" t="s">
        <v>346</v>
      </c>
      <c r="D5" s="343"/>
      <c r="E5" s="344"/>
      <c r="F5" s="59"/>
    </row>
    <row r="6" spans="1:7" s="61" customFormat="1" ht="23.25" customHeight="1" thickBot="1" x14ac:dyDescent="0.3">
      <c r="B6" s="59"/>
      <c r="E6" s="274" t="s">
        <v>2</v>
      </c>
      <c r="F6" s="275"/>
    </row>
    <row r="7" spans="1:7" s="61" customFormat="1" ht="29.25" customHeight="1" thickTop="1" thickBot="1" x14ac:dyDescent="0.3">
      <c r="B7" s="271" t="s">
        <v>24</v>
      </c>
      <c r="C7" s="271" t="s">
        <v>25</v>
      </c>
      <c r="D7" s="271" t="s">
        <v>26</v>
      </c>
      <c r="E7" s="272" t="s">
        <v>27</v>
      </c>
      <c r="F7" s="273" t="s">
        <v>28</v>
      </c>
    </row>
    <row r="8" spans="1:7" ht="17.100000000000001" customHeight="1" thickTop="1" x14ac:dyDescent="0.25">
      <c r="B8" s="63">
        <v>1</v>
      </c>
      <c r="C8" s="64" t="s">
        <v>29</v>
      </c>
      <c r="D8" s="64"/>
      <c r="E8" s="65" t="s">
        <v>30</v>
      </c>
      <c r="F8" s="66">
        <v>631.9</v>
      </c>
      <c r="G8" s="67"/>
    </row>
    <row r="9" spans="1:7" ht="17.100000000000001" customHeight="1" x14ac:dyDescent="0.25">
      <c r="B9" s="68">
        <f>B8+1</f>
        <v>2</v>
      </c>
      <c r="C9" s="69" t="s">
        <v>31</v>
      </c>
      <c r="D9" s="69"/>
      <c r="E9" s="70" t="s">
        <v>30</v>
      </c>
      <c r="F9" s="71">
        <v>197.07</v>
      </c>
      <c r="G9" s="67"/>
    </row>
    <row r="10" spans="1:7" ht="17.100000000000001" customHeight="1" x14ac:dyDescent="0.25">
      <c r="B10" s="68">
        <f>B9+1</f>
        <v>3</v>
      </c>
      <c r="C10" s="69" t="s">
        <v>32</v>
      </c>
      <c r="D10" s="69"/>
      <c r="E10" s="70" t="s">
        <v>33</v>
      </c>
      <c r="F10" s="71">
        <v>6.15</v>
      </c>
      <c r="G10" s="67"/>
    </row>
    <row r="11" spans="1:7" ht="17.100000000000001" customHeight="1" x14ac:dyDescent="0.25">
      <c r="B11" s="68">
        <f>B10+1</f>
        <v>4</v>
      </c>
      <c r="C11" s="69" t="s">
        <v>34</v>
      </c>
      <c r="D11" s="69"/>
      <c r="E11" s="70" t="s">
        <v>35</v>
      </c>
      <c r="F11" s="71">
        <v>2890</v>
      </c>
      <c r="G11" s="67"/>
    </row>
    <row r="12" spans="1:7" ht="17.100000000000001" customHeight="1" x14ac:dyDescent="0.25">
      <c r="B12" s="68">
        <f>B11+1</f>
        <v>5</v>
      </c>
      <c r="C12" s="69" t="s">
        <v>36</v>
      </c>
      <c r="D12" s="69"/>
      <c r="E12" s="70" t="s">
        <v>35</v>
      </c>
      <c r="F12" s="71">
        <v>3520</v>
      </c>
      <c r="G12" s="67"/>
    </row>
    <row r="13" spans="1:7" ht="17.100000000000001" customHeight="1" x14ac:dyDescent="0.25">
      <c r="B13" s="68">
        <f t="shared" ref="B13:B76" si="0">B12+1</f>
        <v>6</v>
      </c>
      <c r="C13" s="69" t="s">
        <v>37</v>
      </c>
      <c r="D13" s="69"/>
      <c r="E13" s="70" t="s">
        <v>33</v>
      </c>
      <c r="F13" s="71">
        <v>1562</v>
      </c>
      <c r="G13" s="67"/>
    </row>
    <row r="14" spans="1:7" ht="17.100000000000001" customHeight="1" x14ac:dyDescent="0.25">
      <c r="B14" s="68">
        <f t="shared" si="0"/>
        <v>7</v>
      </c>
      <c r="C14" s="69" t="s">
        <v>38</v>
      </c>
      <c r="D14" s="69"/>
      <c r="E14" s="70" t="s">
        <v>33</v>
      </c>
      <c r="F14" s="71">
        <v>695.41</v>
      </c>
      <c r="G14" s="67"/>
    </row>
    <row r="15" spans="1:7" ht="17.100000000000001" customHeight="1" x14ac:dyDescent="0.25">
      <c r="B15" s="68">
        <f t="shared" si="0"/>
        <v>8</v>
      </c>
      <c r="C15" s="69" t="s">
        <v>39</v>
      </c>
      <c r="D15" s="69"/>
      <c r="E15" s="70" t="s">
        <v>33</v>
      </c>
      <c r="F15" s="71">
        <v>298</v>
      </c>
      <c r="G15" s="67"/>
    </row>
    <row r="16" spans="1:7" ht="17.100000000000001" customHeight="1" x14ac:dyDescent="0.25">
      <c r="B16" s="68">
        <f t="shared" si="0"/>
        <v>9</v>
      </c>
      <c r="C16" s="69" t="s">
        <v>40</v>
      </c>
      <c r="D16" s="69"/>
      <c r="E16" s="70" t="s">
        <v>41</v>
      </c>
      <c r="F16" s="71">
        <v>478</v>
      </c>
      <c r="G16" s="67"/>
    </row>
    <row r="17" spans="2:7" ht="17.100000000000001" customHeight="1" x14ac:dyDescent="0.25">
      <c r="B17" s="68">
        <f t="shared" si="0"/>
        <v>10</v>
      </c>
      <c r="C17" s="69" t="s">
        <v>42</v>
      </c>
      <c r="D17" s="69"/>
      <c r="E17" s="70" t="s">
        <v>33</v>
      </c>
      <c r="F17" s="71">
        <v>3.9</v>
      </c>
      <c r="G17" s="67"/>
    </row>
    <row r="18" spans="2:7" ht="17.100000000000001" customHeight="1" x14ac:dyDescent="0.25">
      <c r="B18" s="68">
        <f t="shared" si="0"/>
        <v>11</v>
      </c>
      <c r="C18" s="69" t="s">
        <v>43</v>
      </c>
      <c r="D18" s="69"/>
      <c r="E18" s="70" t="s">
        <v>3</v>
      </c>
      <c r="F18" s="71">
        <v>64.56</v>
      </c>
      <c r="G18" s="67"/>
    </row>
    <row r="19" spans="2:7" ht="17.100000000000001" customHeight="1" x14ac:dyDescent="0.25">
      <c r="B19" s="68">
        <f t="shared" si="0"/>
        <v>12</v>
      </c>
      <c r="C19" s="69" t="s">
        <v>44</v>
      </c>
      <c r="D19" s="69"/>
      <c r="E19" s="70" t="s">
        <v>33</v>
      </c>
      <c r="F19" s="71">
        <v>1662</v>
      </c>
      <c r="G19" s="67"/>
    </row>
    <row r="20" spans="2:7" ht="17.100000000000001" customHeight="1" x14ac:dyDescent="0.25">
      <c r="B20" s="68">
        <f t="shared" si="0"/>
        <v>13</v>
      </c>
      <c r="C20" s="69" t="s">
        <v>45</v>
      </c>
      <c r="E20" s="70" t="s">
        <v>46</v>
      </c>
      <c r="F20" s="71">
        <v>674.5</v>
      </c>
    </row>
    <row r="21" spans="2:7" ht="17.100000000000001" customHeight="1" x14ac:dyDescent="0.25">
      <c r="B21" s="68">
        <f t="shared" si="0"/>
        <v>14</v>
      </c>
      <c r="C21" s="69" t="s">
        <v>47</v>
      </c>
      <c r="D21" s="69"/>
      <c r="E21" s="70" t="s">
        <v>33</v>
      </c>
      <c r="F21" s="71">
        <v>1080</v>
      </c>
      <c r="G21" s="67"/>
    </row>
    <row r="22" spans="2:7" ht="17.100000000000001" customHeight="1" x14ac:dyDescent="0.25">
      <c r="B22" s="68">
        <f t="shared" si="0"/>
        <v>15</v>
      </c>
      <c r="C22" s="69"/>
      <c r="E22" s="70"/>
      <c r="F22" s="71"/>
    </row>
    <row r="23" spans="2:7" ht="17.100000000000001" customHeight="1" x14ac:dyDescent="0.25">
      <c r="B23" s="68">
        <f t="shared" si="0"/>
        <v>16</v>
      </c>
      <c r="C23" s="69" t="s">
        <v>48</v>
      </c>
      <c r="D23" s="69"/>
      <c r="E23" s="70" t="s">
        <v>1</v>
      </c>
      <c r="F23" s="71">
        <v>418.85</v>
      </c>
      <c r="G23" s="67"/>
    </row>
    <row r="24" spans="2:7" ht="17.100000000000001" customHeight="1" x14ac:dyDescent="0.25">
      <c r="B24" s="68">
        <f t="shared" si="0"/>
        <v>17</v>
      </c>
      <c r="C24" s="69" t="s">
        <v>49</v>
      </c>
      <c r="D24" s="69"/>
      <c r="E24" s="70" t="s">
        <v>33</v>
      </c>
      <c r="F24" s="71">
        <v>3055.32</v>
      </c>
      <c r="G24" s="67"/>
    </row>
    <row r="25" spans="2:7" ht="17.100000000000001" customHeight="1" x14ac:dyDescent="0.25">
      <c r="B25" s="68">
        <f t="shared" si="0"/>
        <v>18</v>
      </c>
      <c r="C25" s="69" t="s">
        <v>50</v>
      </c>
      <c r="D25" s="69"/>
      <c r="E25" s="70" t="s">
        <v>33</v>
      </c>
      <c r="F25" s="71">
        <v>360</v>
      </c>
      <c r="G25" s="67"/>
    </row>
    <row r="26" spans="2:7" ht="17.100000000000001" customHeight="1" x14ac:dyDescent="0.25">
      <c r="B26" s="68">
        <f t="shared" si="0"/>
        <v>19</v>
      </c>
      <c r="C26" s="69" t="s">
        <v>51</v>
      </c>
      <c r="D26" s="69"/>
      <c r="E26" s="70" t="s">
        <v>41</v>
      </c>
      <c r="F26" s="71">
        <v>1738</v>
      </c>
      <c r="G26" s="67"/>
    </row>
    <row r="27" spans="2:7" ht="17.100000000000001" customHeight="1" x14ac:dyDescent="0.25">
      <c r="B27" s="68">
        <f t="shared" si="0"/>
        <v>20</v>
      </c>
      <c r="C27" s="69" t="s">
        <v>52</v>
      </c>
      <c r="D27" s="69"/>
      <c r="E27" s="70" t="s">
        <v>41</v>
      </c>
      <c r="F27" s="71">
        <v>890</v>
      </c>
      <c r="G27" s="67"/>
    </row>
    <row r="28" spans="2:7" ht="17.100000000000001" customHeight="1" x14ac:dyDescent="0.25">
      <c r="B28" s="68">
        <f t="shared" si="0"/>
        <v>21</v>
      </c>
      <c r="C28" s="69" t="s">
        <v>53</v>
      </c>
      <c r="D28" s="69"/>
      <c r="E28" s="70" t="s">
        <v>41</v>
      </c>
      <c r="F28" s="71">
        <v>1114</v>
      </c>
      <c r="G28" s="67"/>
    </row>
    <row r="29" spans="2:7" ht="17.100000000000001" customHeight="1" x14ac:dyDescent="0.25">
      <c r="B29" s="68">
        <f t="shared" si="0"/>
        <v>22</v>
      </c>
      <c r="C29" s="69" t="s">
        <v>54</v>
      </c>
      <c r="D29" s="69"/>
      <c r="E29" s="70" t="s">
        <v>41</v>
      </c>
      <c r="F29" s="71">
        <v>356.83</v>
      </c>
      <c r="G29" s="67"/>
    </row>
    <row r="30" spans="2:7" ht="17.100000000000001" customHeight="1" x14ac:dyDescent="0.25">
      <c r="B30" s="68">
        <f t="shared" si="0"/>
        <v>23</v>
      </c>
      <c r="C30" s="69" t="s">
        <v>55</v>
      </c>
      <c r="D30" s="69"/>
      <c r="E30" s="70" t="s">
        <v>41</v>
      </c>
      <c r="F30" s="71">
        <v>13140</v>
      </c>
      <c r="G30" s="67"/>
    </row>
    <row r="31" spans="2:7" ht="17.100000000000001" customHeight="1" x14ac:dyDescent="0.25">
      <c r="B31" s="68">
        <f t="shared" si="0"/>
        <v>24</v>
      </c>
      <c r="C31" s="69" t="s">
        <v>56</v>
      </c>
      <c r="D31" s="69"/>
      <c r="E31" s="70" t="s">
        <v>41</v>
      </c>
      <c r="F31" s="71">
        <v>5500</v>
      </c>
      <c r="G31" s="67"/>
    </row>
    <row r="32" spans="2:7" ht="17.100000000000001" customHeight="1" x14ac:dyDescent="0.25">
      <c r="B32" s="68">
        <f t="shared" si="0"/>
        <v>25</v>
      </c>
      <c r="C32" s="69" t="s">
        <v>57</v>
      </c>
      <c r="D32" s="69"/>
      <c r="E32" s="70" t="s">
        <v>41</v>
      </c>
      <c r="F32" s="71">
        <v>6060</v>
      </c>
      <c r="G32" s="67"/>
    </row>
    <row r="33" spans="2:7" ht="17.100000000000001" customHeight="1" x14ac:dyDescent="0.25">
      <c r="B33" s="68">
        <f t="shared" si="0"/>
        <v>26</v>
      </c>
      <c r="C33" s="69" t="s">
        <v>58</v>
      </c>
      <c r="D33" s="69"/>
      <c r="E33" s="70" t="s">
        <v>59</v>
      </c>
      <c r="F33" s="71">
        <v>2191</v>
      </c>
      <c r="G33" s="67"/>
    </row>
    <row r="34" spans="2:7" ht="17.100000000000001" customHeight="1" x14ac:dyDescent="0.25">
      <c r="B34" s="68">
        <f t="shared" si="0"/>
        <v>27</v>
      </c>
      <c r="C34" s="69" t="s">
        <v>60</v>
      </c>
      <c r="D34" s="69"/>
      <c r="E34" s="70" t="s">
        <v>61</v>
      </c>
      <c r="F34" s="71">
        <v>290</v>
      </c>
      <c r="G34" s="67"/>
    </row>
    <row r="35" spans="2:7" ht="17.100000000000001" customHeight="1" x14ac:dyDescent="0.25">
      <c r="B35" s="68">
        <f t="shared" si="0"/>
        <v>28</v>
      </c>
      <c r="C35" s="69" t="s">
        <v>62</v>
      </c>
      <c r="D35" s="69"/>
      <c r="E35" s="70" t="s">
        <v>33</v>
      </c>
      <c r="F35" s="71">
        <v>2500</v>
      </c>
      <c r="G35" s="67"/>
    </row>
    <row r="36" spans="2:7" ht="17.100000000000001" customHeight="1" x14ac:dyDescent="0.25">
      <c r="B36" s="68">
        <f t="shared" si="0"/>
        <v>29</v>
      </c>
      <c r="C36" s="69" t="s">
        <v>63</v>
      </c>
      <c r="D36" s="69"/>
      <c r="E36" s="70" t="s">
        <v>33</v>
      </c>
      <c r="F36" s="71">
        <v>260</v>
      </c>
      <c r="G36" s="67"/>
    </row>
    <row r="37" spans="2:7" ht="17.100000000000001" customHeight="1" x14ac:dyDescent="0.25">
      <c r="B37" s="68">
        <f t="shared" si="0"/>
        <v>30</v>
      </c>
      <c r="C37" s="69" t="s">
        <v>64</v>
      </c>
      <c r="D37" s="69"/>
      <c r="E37" s="70" t="s">
        <v>1</v>
      </c>
      <c r="F37" s="71">
        <v>800</v>
      </c>
      <c r="G37" s="67"/>
    </row>
    <row r="38" spans="2:7" ht="17.100000000000001" customHeight="1" x14ac:dyDescent="0.25">
      <c r="B38" s="68">
        <f t="shared" si="0"/>
        <v>31</v>
      </c>
      <c r="C38" s="69" t="s">
        <v>65</v>
      </c>
      <c r="D38" s="69"/>
      <c r="E38" s="70" t="s">
        <v>3</v>
      </c>
      <c r="F38" s="71">
        <v>20</v>
      </c>
      <c r="G38" s="67"/>
    </row>
    <row r="39" spans="2:7" ht="17.100000000000001" customHeight="1" x14ac:dyDescent="0.25">
      <c r="B39" s="68">
        <f t="shared" si="0"/>
        <v>32</v>
      </c>
      <c r="C39" s="69" t="s">
        <v>66</v>
      </c>
      <c r="D39" s="69"/>
      <c r="E39" s="70" t="s">
        <v>3</v>
      </c>
      <c r="F39" s="71">
        <v>180</v>
      </c>
      <c r="G39" s="67"/>
    </row>
    <row r="40" spans="2:7" ht="17.100000000000001" customHeight="1" x14ac:dyDescent="0.25">
      <c r="B40" s="68">
        <f t="shared" si="0"/>
        <v>33</v>
      </c>
      <c r="C40" s="69" t="s">
        <v>67</v>
      </c>
      <c r="D40" s="69"/>
      <c r="E40" s="70" t="s">
        <v>41</v>
      </c>
      <c r="F40" s="71">
        <v>661</v>
      </c>
      <c r="G40" s="67"/>
    </row>
    <row r="41" spans="2:7" ht="17.100000000000001" customHeight="1" x14ac:dyDescent="0.25">
      <c r="B41" s="68">
        <f t="shared" si="0"/>
        <v>34</v>
      </c>
      <c r="C41" s="69" t="s">
        <v>68</v>
      </c>
      <c r="D41" s="69"/>
      <c r="E41" s="70" t="s">
        <v>69</v>
      </c>
      <c r="F41" s="71">
        <v>139</v>
      </c>
      <c r="G41" s="67"/>
    </row>
    <row r="42" spans="2:7" ht="17.100000000000001" customHeight="1" x14ac:dyDescent="0.25">
      <c r="B42" s="68">
        <f t="shared" si="0"/>
        <v>35</v>
      </c>
      <c r="C42" s="69" t="s">
        <v>70</v>
      </c>
      <c r="D42" s="69"/>
      <c r="E42" s="70" t="s">
        <v>69</v>
      </c>
      <c r="F42" s="71">
        <v>161</v>
      </c>
      <c r="G42" s="67"/>
    </row>
    <row r="43" spans="2:7" ht="17.100000000000001" customHeight="1" x14ac:dyDescent="0.25">
      <c r="B43" s="68">
        <f t="shared" si="0"/>
        <v>36</v>
      </c>
      <c r="C43" s="69" t="s">
        <v>71</v>
      </c>
      <c r="D43" s="69"/>
      <c r="E43" s="70" t="s">
        <v>33</v>
      </c>
      <c r="F43" s="71">
        <v>1800</v>
      </c>
      <c r="G43" s="67"/>
    </row>
    <row r="44" spans="2:7" ht="17.100000000000001" customHeight="1" x14ac:dyDescent="0.25">
      <c r="B44" s="68">
        <f t="shared" si="0"/>
        <v>37</v>
      </c>
      <c r="C44" s="69" t="s">
        <v>72</v>
      </c>
      <c r="D44" s="69"/>
      <c r="E44" s="70" t="s">
        <v>35</v>
      </c>
      <c r="F44" s="71">
        <v>4500</v>
      </c>
      <c r="G44" s="67"/>
    </row>
    <row r="45" spans="2:7" ht="17.100000000000001" customHeight="1" x14ac:dyDescent="0.25">
      <c r="B45" s="68">
        <f t="shared" si="0"/>
        <v>38</v>
      </c>
      <c r="C45" s="69" t="s">
        <v>73</v>
      </c>
      <c r="D45" s="69"/>
      <c r="E45" s="70" t="s">
        <v>1</v>
      </c>
      <c r="F45" s="71">
        <v>45</v>
      </c>
      <c r="G45" s="67"/>
    </row>
    <row r="46" spans="2:7" ht="17.100000000000001" customHeight="1" x14ac:dyDescent="0.25">
      <c r="B46" s="68">
        <f t="shared" si="0"/>
        <v>39</v>
      </c>
      <c r="C46" s="69" t="s">
        <v>74</v>
      </c>
      <c r="D46" s="69"/>
      <c r="E46" s="70" t="s">
        <v>61</v>
      </c>
      <c r="F46" s="71">
        <v>175</v>
      </c>
      <c r="G46" s="67"/>
    </row>
    <row r="47" spans="2:7" ht="17.100000000000001" customHeight="1" x14ac:dyDescent="0.25">
      <c r="B47" s="68">
        <f t="shared" si="0"/>
        <v>40</v>
      </c>
      <c r="C47" s="69" t="s">
        <v>75</v>
      </c>
      <c r="D47" s="69"/>
      <c r="E47" s="70" t="s">
        <v>76</v>
      </c>
      <c r="F47" s="71">
        <v>1737</v>
      </c>
      <c r="G47" s="67"/>
    </row>
    <row r="48" spans="2:7" ht="17.100000000000001" customHeight="1" x14ac:dyDescent="0.25">
      <c r="B48" s="68">
        <f t="shared" si="0"/>
        <v>41</v>
      </c>
      <c r="C48" s="69" t="s">
        <v>77</v>
      </c>
      <c r="D48" s="69"/>
      <c r="E48" s="70" t="s">
        <v>76</v>
      </c>
      <c r="F48" s="71">
        <v>2956</v>
      </c>
      <c r="G48" s="67"/>
    </row>
    <row r="49" spans="2:7" ht="17.100000000000001" customHeight="1" x14ac:dyDescent="0.25">
      <c r="B49" s="68">
        <f t="shared" si="0"/>
        <v>42</v>
      </c>
      <c r="C49" s="69" t="s">
        <v>78</v>
      </c>
      <c r="D49" s="69"/>
      <c r="E49" s="70" t="s">
        <v>76</v>
      </c>
      <c r="F49" s="71">
        <v>725</v>
      </c>
      <c r="G49" s="67"/>
    </row>
    <row r="50" spans="2:7" ht="17.100000000000001" customHeight="1" x14ac:dyDescent="0.25">
      <c r="B50" s="68">
        <f t="shared" si="0"/>
        <v>43</v>
      </c>
      <c r="C50" s="69" t="s">
        <v>79</v>
      </c>
      <c r="D50" s="69"/>
      <c r="E50" s="70" t="s">
        <v>76</v>
      </c>
      <c r="F50" s="71">
        <v>2225</v>
      </c>
    </row>
    <row r="51" spans="2:7" ht="17.100000000000001" customHeight="1" x14ac:dyDescent="0.25">
      <c r="B51" s="68">
        <f t="shared" si="0"/>
        <v>44</v>
      </c>
      <c r="C51" s="69" t="s">
        <v>80</v>
      </c>
      <c r="D51" s="69"/>
      <c r="E51" s="70" t="s">
        <v>76</v>
      </c>
      <c r="F51" s="71">
        <v>3120</v>
      </c>
    </row>
    <row r="52" spans="2:7" ht="17.100000000000001" customHeight="1" x14ac:dyDescent="0.25">
      <c r="B52" s="68">
        <f t="shared" si="0"/>
        <v>45</v>
      </c>
      <c r="C52" s="69" t="s">
        <v>81</v>
      </c>
      <c r="D52" s="69"/>
      <c r="E52" s="70" t="s">
        <v>76</v>
      </c>
      <c r="F52" s="71">
        <v>4690</v>
      </c>
    </row>
    <row r="53" spans="2:7" ht="17.100000000000001" customHeight="1" x14ac:dyDescent="0.25">
      <c r="B53" s="68">
        <f t="shared" si="0"/>
        <v>46</v>
      </c>
      <c r="C53" s="69" t="s">
        <v>82</v>
      </c>
      <c r="D53" s="69"/>
      <c r="E53" s="70" t="s">
        <v>76</v>
      </c>
      <c r="F53" s="71">
        <v>4796</v>
      </c>
    </row>
    <row r="54" spans="2:7" ht="17.100000000000001" customHeight="1" x14ac:dyDescent="0.25">
      <c r="B54" s="68">
        <f t="shared" si="0"/>
        <v>47</v>
      </c>
      <c r="C54" s="69" t="s">
        <v>83</v>
      </c>
      <c r="D54" s="69"/>
      <c r="E54" s="70" t="s">
        <v>76</v>
      </c>
      <c r="F54" s="71">
        <v>3293</v>
      </c>
    </row>
    <row r="55" spans="2:7" ht="17.100000000000001" customHeight="1" x14ac:dyDescent="0.25">
      <c r="B55" s="68">
        <f t="shared" si="0"/>
        <v>48</v>
      </c>
      <c r="C55" s="69" t="s">
        <v>84</v>
      </c>
      <c r="D55" s="69"/>
      <c r="E55" s="70" t="s">
        <v>76</v>
      </c>
      <c r="F55" s="71">
        <v>729</v>
      </c>
    </row>
    <row r="56" spans="2:7" ht="17.100000000000001" customHeight="1" x14ac:dyDescent="0.25">
      <c r="B56" s="68">
        <f t="shared" si="0"/>
        <v>49</v>
      </c>
      <c r="C56" s="69" t="s">
        <v>85</v>
      </c>
      <c r="D56" s="69"/>
      <c r="E56" s="70" t="s">
        <v>33</v>
      </c>
      <c r="F56" s="71">
        <v>3400</v>
      </c>
    </row>
    <row r="57" spans="2:7" ht="17.100000000000001" customHeight="1" x14ac:dyDescent="0.25">
      <c r="B57" s="68">
        <f t="shared" si="0"/>
        <v>50</v>
      </c>
      <c r="C57" s="69" t="s">
        <v>86</v>
      </c>
      <c r="D57" s="69"/>
      <c r="E57" s="70" t="s">
        <v>76</v>
      </c>
      <c r="F57" s="71">
        <v>3604</v>
      </c>
    </row>
    <row r="58" spans="2:7" ht="17.100000000000001" customHeight="1" x14ac:dyDescent="0.25">
      <c r="B58" s="68">
        <f t="shared" si="0"/>
        <v>51</v>
      </c>
      <c r="C58" s="69" t="s">
        <v>87</v>
      </c>
      <c r="D58" s="69"/>
      <c r="E58" s="70" t="s">
        <v>76</v>
      </c>
      <c r="F58" s="71">
        <v>1179</v>
      </c>
    </row>
    <row r="59" spans="2:7" ht="17.100000000000001" customHeight="1" x14ac:dyDescent="0.25">
      <c r="B59" s="68">
        <f t="shared" si="0"/>
        <v>52</v>
      </c>
      <c r="C59" s="69" t="s">
        <v>88</v>
      </c>
      <c r="D59" s="69"/>
      <c r="E59" s="70" t="s">
        <v>69</v>
      </c>
      <c r="F59" s="71">
        <v>196</v>
      </c>
    </row>
    <row r="60" spans="2:7" ht="17.100000000000001" customHeight="1" x14ac:dyDescent="0.25">
      <c r="B60" s="68">
        <f t="shared" si="0"/>
        <v>53</v>
      </c>
      <c r="C60" s="69" t="s">
        <v>89</v>
      </c>
      <c r="D60" s="69"/>
      <c r="E60" s="70" t="s">
        <v>69</v>
      </c>
      <c r="F60" s="71">
        <v>318</v>
      </c>
    </row>
    <row r="61" spans="2:7" ht="17.100000000000001" customHeight="1" x14ac:dyDescent="0.25">
      <c r="B61" s="68">
        <f t="shared" si="0"/>
        <v>54</v>
      </c>
      <c r="C61" s="69" t="s">
        <v>90</v>
      </c>
      <c r="D61" s="69"/>
      <c r="E61" s="70" t="s">
        <v>69</v>
      </c>
      <c r="F61" s="71">
        <v>1000</v>
      </c>
    </row>
    <row r="62" spans="2:7" ht="17.100000000000001" customHeight="1" x14ac:dyDescent="0.25">
      <c r="B62" s="68">
        <f t="shared" si="0"/>
        <v>55</v>
      </c>
      <c r="C62" s="69" t="s">
        <v>91</v>
      </c>
      <c r="D62" s="69"/>
      <c r="E62" s="70" t="s">
        <v>76</v>
      </c>
      <c r="F62" s="71">
        <v>439</v>
      </c>
    </row>
    <row r="63" spans="2:7" ht="17.100000000000001" customHeight="1" x14ac:dyDescent="0.25">
      <c r="B63" s="68">
        <f t="shared" si="0"/>
        <v>56</v>
      </c>
      <c r="C63" s="69" t="s">
        <v>92</v>
      </c>
      <c r="D63" s="69"/>
      <c r="E63" s="70" t="s">
        <v>76</v>
      </c>
      <c r="F63" s="71">
        <v>6990</v>
      </c>
    </row>
    <row r="64" spans="2:7" ht="17.100000000000001" customHeight="1" x14ac:dyDescent="0.25">
      <c r="B64" s="68">
        <f t="shared" si="0"/>
        <v>57</v>
      </c>
      <c r="C64" s="69" t="s">
        <v>93</v>
      </c>
      <c r="D64" s="69"/>
      <c r="E64" s="70" t="s">
        <v>3</v>
      </c>
      <c r="F64" s="71">
        <v>765</v>
      </c>
    </row>
    <row r="65" spans="2:7" ht="17.100000000000001" customHeight="1" x14ac:dyDescent="0.25">
      <c r="B65" s="68">
        <f t="shared" si="0"/>
        <v>58</v>
      </c>
      <c r="C65" s="69" t="s">
        <v>94</v>
      </c>
      <c r="D65" s="69"/>
      <c r="E65" s="70" t="s">
        <v>41</v>
      </c>
      <c r="F65" s="71">
        <v>1900</v>
      </c>
      <c r="G65" s="67"/>
    </row>
    <row r="66" spans="2:7" ht="17.100000000000001" customHeight="1" x14ac:dyDescent="0.25">
      <c r="B66" s="68">
        <f t="shared" si="0"/>
        <v>59</v>
      </c>
      <c r="C66" s="69" t="s">
        <v>95</v>
      </c>
      <c r="D66" s="69"/>
      <c r="E66" s="70" t="s">
        <v>33</v>
      </c>
      <c r="F66" s="71">
        <v>1775</v>
      </c>
      <c r="G66" s="67"/>
    </row>
    <row r="67" spans="2:7" ht="17.100000000000001" customHeight="1" x14ac:dyDescent="0.25">
      <c r="B67" s="68">
        <f t="shared" si="0"/>
        <v>60</v>
      </c>
      <c r="C67" s="69" t="s">
        <v>96</v>
      </c>
      <c r="D67" s="69"/>
      <c r="E67" s="70" t="s">
        <v>41</v>
      </c>
      <c r="F67" s="71">
        <v>75</v>
      </c>
    </row>
    <row r="68" spans="2:7" ht="17.100000000000001" customHeight="1" x14ac:dyDescent="0.25">
      <c r="B68" s="68">
        <f t="shared" si="0"/>
        <v>61</v>
      </c>
      <c r="C68" s="69" t="s">
        <v>97</v>
      </c>
      <c r="D68" s="69"/>
      <c r="E68" s="70" t="s">
        <v>33</v>
      </c>
      <c r="F68" s="71">
        <v>2400</v>
      </c>
    </row>
    <row r="69" spans="2:7" ht="17.100000000000001" customHeight="1" x14ac:dyDescent="0.25">
      <c r="B69" s="68">
        <f t="shared" si="0"/>
        <v>62</v>
      </c>
      <c r="C69" s="69" t="s">
        <v>98</v>
      </c>
      <c r="D69" s="69"/>
      <c r="E69" s="70" t="s">
        <v>33</v>
      </c>
      <c r="F69" s="71">
        <v>2000</v>
      </c>
    </row>
    <row r="70" spans="2:7" ht="17.100000000000001" customHeight="1" x14ac:dyDescent="0.25">
      <c r="B70" s="68">
        <f t="shared" si="0"/>
        <v>63</v>
      </c>
      <c r="C70" s="69" t="s">
        <v>99</v>
      </c>
      <c r="D70" s="69"/>
      <c r="E70" s="70" t="s">
        <v>33</v>
      </c>
      <c r="F70" s="71">
        <v>1300</v>
      </c>
    </row>
    <row r="71" spans="2:7" ht="17.100000000000001" customHeight="1" x14ac:dyDescent="0.25">
      <c r="B71" s="68">
        <f t="shared" si="0"/>
        <v>64</v>
      </c>
      <c r="C71" s="69" t="s">
        <v>100</v>
      </c>
      <c r="D71" s="69"/>
      <c r="E71" s="70" t="s">
        <v>33</v>
      </c>
      <c r="F71" s="71">
        <v>36</v>
      </c>
    </row>
    <row r="72" spans="2:7" ht="17.100000000000001" customHeight="1" x14ac:dyDescent="0.25">
      <c r="B72" s="68">
        <f t="shared" si="0"/>
        <v>65</v>
      </c>
      <c r="C72" s="69" t="s">
        <v>101</v>
      </c>
      <c r="D72" s="69"/>
      <c r="E72" s="70" t="s">
        <v>33</v>
      </c>
      <c r="F72" s="71"/>
    </row>
    <row r="73" spans="2:7" ht="17.100000000000001" customHeight="1" x14ac:dyDescent="0.25">
      <c r="B73" s="68">
        <f t="shared" si="0"/>
        <v>66</v>
      </c>
      <c r="C73" s="69" t="s">
        <v>102</v>
      </c>
      <c r="D73" s="69"/>
      <c r="E73" s="70" t="s">
        <v>41</v>
      </c>
      <c r="F73" s="71">
        <v>100</v>
      </c>
      <c r="G73" s="67"/>
    </row>
    <row r="74" spans="2:7" ht="17.100000000000001" customHeight="1" x14ac:dyDescent="0.25">
      <c r="B74" s="68">
        <f t="shared" si="0"/>
        <v>67</v>
      </c>
      <c r="C74" s="69" t="s">
        <v>103</v>
      </c>
      <c r="D74" s="69"/>
      <c r="E74" s="70" t="s">
        <v>69</v>
      </c>
      <c r="F74" s="71">
        <v>380</v>
      </c>
    </row>
    <row r="75" spans="2:7" ht="17.100000000000001" customHeight="1" x14ac:dyDescent="0.25">
      <c r="B75" s="68">
        <f t="shared" si="0"/>
        <v>68</v>
      </c>
      <c r="C75" s="69" t="s">
        <v>104</v>
      </c>
      <c r="D75" s="69"/>
      <c r="E75" s="70" t="s">
        <v>33</v>
      </c>
      <c r="F75" s="71">
        <v>305.58</v>
      </c>
    </row>
    <row r="76" spans="2:7" ht="17.100000000000001" customHeight="1" x14ac:dyDescent="0.25">
      <c r="B76" s="68">
        <f t="shared" si="0"/>
        <v>69</v>
      </c>
      <c r="C76" s="69" t="s">
        <v>105</v>
      </c>
      <c r="D76" s="69"/>
      <c r="E76" s="70" t="s">
        <v>3</v>
      </c>
      <c r="F76" s="71">
        <v>190</v>
      </c>
    </row>
    <row r="77" spans="2:7" ht="17.100000000000001" customHeight="1" x14ac:dyDescent="0.25">
      <c r="B77" s="68">
        <f t="shared" ref="B77:B79" si="1">B76+1</f>
        <v>70</v>
      </c>
      <c r="C77" s="69" t="s">
        <v>106</v>
      </c>
      <c r="D77" s="69"/>
      <c r="E77" s="70" t="s">
        <v>3</v>
      </c>
      <c r="F77" s="71">
        <v>412</v>
      </c>
    </row>
    <row r="78" spans="2:7" ht="17.100000000000001" customHeight="1" x14ac:dyDescent="0.25">
      <c r="B78" s="68">
        <f t="shared" si="1"/>
        <v>71</v>
      </c>
      <c r="C78" s="69" t="s">
        <v>107</v>
      </c>
      <c r="D78" s="69"/>
      <c r="E78" s="70" t="s">
        <v>69</v>
      </c>
      <c r="F78" s="71">
        <v>375</v>
      </c>
    </row>
    <row r="79" spans="2:7" ht="17.100000000000001" customHeight="1" x14ac:dyDescent="0.25">
      <c r="B79" s="68">
        <f t="shared" si="1"/>
        <v>72</v>
      </c>
      <c r="C79" s="69" t="s">
        <v>108</v>
      </c>
      <c r="D79" s="69"/>
      <c r="E79" s="70" t="s">
        <v>3</v>
      </c>
      <c r="F79" s="71">
        <v>540.76</v>
      </c>
    </row>
    <row r="80" spans="2:7" ht="17.100000000000001" customHeight="1" x14ac:dyDescent="0.25">
      <c r="B80" s="68">
        <f>B79+1</f>
        <v>73</v>
      </c>
      <c r="C80" s="69" t="s">
        <v>109</v>
      </c>
      <c r="D80" s="69"/>
      <c r="E80" s="70" t="s">
        <v>35</v>
      </c>
      <c r="F80" s="71">
        <v>1086</v>
      </c>
    </row>
    <row r="81" spans="2:6" ht="17.100000000000001" customHeight="1" x14ac:dyDescent="0.25">
      <c r="B81" s="68">
        <f t="shared" ref="B81:B98" si="2">B80+1</f>
        <v>74</v>
      </c>
      <c r="C81" s="69" t="s">
        <v>110</v>
      </c>
      <c r="D81" s="69"/>
      <c r="E81" s="70" t="s">
        <v>41</v>
      </c>
      <c r="F81" s="71">
        <v>400</v>
      </c>
    </row>
    <row r="82" spans="2:6" ht="17.100000000000001" customHeight="1" x14ac:dyDescent="0.25">
      <c r="B82" s="68">
        <f t="shared" si="2"/>
        <v>75</v>
      </c>
      <c r="C82" s="69" t="s">
        <v>111</v>
      </c>
      <c r="D82" s="69"/>
      <c r="E82" s="70" t="s">
        <v>69</v>
      </c>
      <c r="F82" s="71">
        <v>1000</v>
      </c>
    </row>
    <row r="83" spans="2:6" ht="17.100000000000001" customHeight="1" x14ac:dyDescent="0.25">
      <c r="B83" s="68">
        <f t="shared" si="2"/>
        <v>76</v>
      </c>
      <c r="C83" s="69" t="s">
        <v>112</v>
      </c>
      <c r="D83" s="69"/>
      <c r="E83" s="70" t="s">
        <v>69</v>
      </c>
      <c r="F83" s="71">
        <v>180</v>
      </c>
    </row>
    <row r="84" spans="2:6" ht="17.100000000000001" customHeight="1" x14ac:dyDescent="0.25">
      <c r="B84" s="68">
        <f t="shared" si="2"/>
        <v>77</v>
      </c>
      <c r="C84" s="69" t="s">
        <v>113</v>
      </c>
      <c r="D84" s="69"/>
      <c r="E84" s="70" t="s">
        <v>69</v>
      </c>
      <c r="F84" s="71">
        <v>30</v>
      </c>
    </row>
    <row r="85" spans="2:6" ht="17.100000000000001" customHeight="1" x14ac:dyDescent="0.25">
      <c r="B85" s="68">
        <f t="shared" si="2"/>
        <v>78</v>
      </c>
      <c r="C85" s="69" t="s">
        <v>114</v>
      </c>
      <c r="D85" s="69"/>
      <c r="E85" s="70" t="s">
        <v>61</v>
      </c>
      <c r="F85" s="71">
        <v>30</v>
      </c>
    </row>
    <row r="86" spans="2:6" ht="17.100000000000001" customHeight="1" x14ac:dyDescent="0.25">
      <c r="B86" s="68">
        <f t="shared" si="2"/>
        <v>79</v>
      </c>
      <c r="C86" s="69" t="s">
        <v>115</v>
      </c>
      <c r="D86" s="69"/>
      <c r="E86" s="70" t="s">
        <v>69</v>
      </c>
      <c r="F86" s="71">
        <v>200</v>
      </c>
    </row>
    <row r="87" spans="2:6" ht="17.100000000000001" customHeight="1" x14ac:dyDescent="0.25">
      <c r="B87" s="68">
        <f t="shared" si="2"/>
        <v>80</v>
      </c>
      <c r="C87" s="69" t="s">
        <v>116</v>
      </c>
      <c r="D87" s="69"/>
      <c r="E87" s="70" t="s">
        <v>33</v>
      </c>
      <c r="F87" s="71">
        <v>236.53</v>
      </c>
    </row>
    <row r="88" spans="2:6" ht="17.100000000000001" customHeight="1" x14ac:dyDescent="0.25">
      <c r="B88" s="68">
        <f t="shared" si="2"/>
        <v>81</v>
      </c>
      <c r="C88" s="69" t="s">
        <v>117</v>
      </c>
      <c r="D88" s="69"/>
      <c r="E88" s="70" t="s">
        <v>41</v>
      </c>
      <c r="F88" s="71">
        <v>4370</v>
      </c>
    </row>
    <row r="89" spans="2:6" ht="17.100000000000001" customHeight="1" x14ac:dyDescent="0.25">
      <c r="B89" s="68">
        <f t="shared" si="2"/>
        <v>82</v>
      </c>
      <c r="C89" s="69" t="s">
        <v>118</v>
      </c>
      <c r="D89" s="69"/>
      <c r="E89" s="70" t="s">
        <v>41</v>
      </c>
      <c r="F89" s="71">
        <v>86.81</v>
      </c>
    </row>
    <row r="90" spans="2:6" ht="17.100000000000001" customHeight="1" x14ac:dyDescent="0.25">
      <c r="B90" s="68">
        <f t="shared" si="2"/>
        <v>83</v>
      </c>
      <c r="C90" s="69" t="s">
        <v>119</v>
      </c>
      <c r="D90" s="69"/>
      <c r="E90" s="70" t="s">
        <v>41</v>
      </c>
      <c r="F90" s="71">
        <v>3200</v>
      </c>
    </row>
    <row r="91" spans="2:6" ht="17.100000000000001" customHeight="1" x14ac:dyDescent="0.25">
      <c r="B91" s="68">
        <f t="shared" si="2"/>
        <v>84</v>
      </c>
      <c r="C91" s="72" t="s">
        <v>45</v>
      </c>
      <c r="D91" s="72"/>
      <c r="E91" s="73" t="s">
        <v>41</v>
      </c>
      <c r="F91" s="71">
        <v>2950</v>
      </c>
    </row>
    <row r="92" spans="2:6" ht="17.100000000000001" customHeight="1" x14ac:dyDescent="0.25">
      <c r="B92" s="68">
        <f t="shared" si="2"/>
        <v>85</v>
      </c>
      <c r="C92" s="72" t="s">
        <v>120</v>
      </c>
      <c r="D92" s="72"/>
      <c r="E92" s="73" t="s">
        <v>41</v>
      </c>
      <c r="F92" s="71">
        <v>5245</v>
      </c>
    </row>
    <row r="93" spans="2:6" x14ac:dyDescent="0.25">
      <c r="B93" s="68">
        <f t="shared" si="2"/>
        <v>86</v>
      </c>
      <c r="C93" s="69" t="s">
        <v>121</v>
      </c>
      <c r="D93" s="69"/>
      <c r="E93" s="70" t="s">
        <v>41</v>
      </c>
      <c r="F93" s="71">
        <v>5450</v>
      </c>
    </row>
    <row r="94" spans="2:6" x14ac:dyDescent="0.25">
      <c r="B94" s="68">
        <f t="shared" si="2"/>
        <v>87</v>
      </c>
      <c r="C94" s="69" t="s">
        <v>122</v>
      </c>
      <c r="D94" s="69"/>
      <c r="E94" s="70" t="s">
        <v>41</v>
      </c>
      <c r="F94" s="71">
        <v>6500</v>
      </c>
    </row>
    <row r="95" spans="2:6" x14ac:dyDescent="0.25">
      <c r="B95" s="68">
        <f t="shared" si="2"/>
        <v>88</v>
      </c>
      <c r="C95" s="69" t="s">
        <v>123</v>
      </c>
      <c r="D95" s="69"/>
      <c r="E95" s="70" t="s">
        <v>33</v>
      </c>
      <c r="F95" s="71">
        <v>2558</v>
      </c>
    </row>
    <row r="96" spans="2:6" x14ac:dyDescent="0.25">
      <c r="B96" s="68">
        <f t="shared" si="2"/>
        <v>89</v>
      </c>
      <c r="C96" s="69" t="s">
        <v>124</v>
      </c>
      <c r="D96" s="69"/>
      <c r="E96" s="70" t="s">
        <v>33</v>
      </c>
      <c r="F96" s="71">
        <v>7932</v>
      </c>
    </row>
    <row r="97" spans="2:6" x14ac:dyDescent="0.25">
      <c r="B97" s="68">
        <f t="shared" si="2"/>
        <v>90</v>
      </c>
      <c r="C97" s="69" t="s">
        <v>125</v>
      </c>
      <c r="D97" s="69"/>
      <c r="E97" s="70" t="s">
        <v>33</v>
      </c>
      <c r="F97" s="71">
        <v>5200</v>
      </c>
    </row>
    <row r="98" spans="2:6" x14ac:dyDescent="0.25">
      <c r="B98" s="68">
        <f t="shared" si="2"/>
        <v>91</v>
      </c>
      <c r="C98" s="69" t="s">
        <v>126</v>
      </c>
      <c r="D98" s="69"/>
      <c r="E98" s="70" t="s">
        <v>33</v>
      </c>
      <c r="F98" s="71">
        <v>1200</v>
      </c>
    </row>
  </sheetData>
  <mergeCells count="3">
    <mergeCell ref="A1:F1"/>
    <mergeCell ref="A3:F3"/>
    <mergeCell ref="C5:E5"/>
  </mergeCells>
  <pageMargins left="1.2598425196850394" right="0.19685039370078741" top="1.299212598425197" bottom="1.3385826771653544" header="0.31496062992125984" footer="0.31496062992125984"/>
  <pageSetup paperSize="5" scale="80" orientation="portrait" horizontalDpi="300" verticalDpi="300" r:id="rId1"/>
  <headerFooter alignWithMargins="0">
    <oddHeader>&amp;C&amp;"Arial,Negrita"PROVINCIA DEL CHACO
&amp;"Arial,Normal"SECRETARIA DE TRANSPORTE, OBRAS Y SERVICIOS PUBLICOS&amp;"Arial,Negrita"
OBRA: CONSTRUCCION PILETAS SOCIALES POLIDEPORTIVO JAIME ZAPATA
UBICACION: RESISTENCIA - CHACO</oddHeader>
    <oddFooter>&amp;C&amp;F - &amp;A</oddFooter>
  </headerFooter>
  <rowBreaks count="1" manualBreakCount="1">
    <brk id="51" max="5" man="1"/>
  </rowBreaks>
  <colBreaks count="1" manualBreakCount="1">
    <brk id="6" min="7" max="9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V2228"/>
  <sheetViews>
    <sheetView tabSelected="1" showOutlineSymbols="0" view="pageBreakPreview" topLeftCell="A154" zoomScale="80" zoomScaleNormal="100" zoomScaleSheetLayoutView="90" workbookViewId="0">
      <selection activeCell="B200" sqref="B200"/>
    </sheetView>
  </sheetViews>
  <sheetFormatPr baseColWidth="10" defaultColWidth="11.375" defaultRowHeight="14.4" x14ac:dyDescent="0.3"/>
  <cols>
    <col min="1" max="1" width="11.375" style="56"/>
    <col min="2" max="2" width="29.25" style="56" customWidth="1"/>
    <col min="3" max="3" width="11.375" style="56"/>
    <col min="4" max="4" width="11.375" style="75"/>
    <col min="5" max="5" width="13.25" style="56" customWidth="1"/>
    <col min="6" max="6" width="14.875" style="56" customWidth="1"/>
    <col min="7" max="7" width="15.125" style="56" customWidth="1"/>
    <col min="8" max="8" width="29.75" style="56" customWidth="1"/>
    <col min="9" max="9" width="11.375" style="56"/>
    <col min="10" max="10" width="22.875" style="56" customWidth="1"/>
    <col min="11" max="11" width="12.75" style="76" customWidth="1"/>
    <col min="12" max="12" width="18.875" style="77" customWidth="1"/>
    <col min="13" max="13" width="17.875" style="56" customWidth="1"/>
    <col min="14" max="16384" width="11.375" style="56"/>
  </cols>
  <sheetData>
    <row r="1" spans="1:21" ht="25.5" customHeight="1" x14ac:dyDescent="0.3">
      <c r="A1" s="333" t="s">
        <v>345</v>
      </c>
      <c r="B1" s="334"/>
      <c r="C1" s="334"/>
      <c r="D1" s="334"/>
      <c r="E1" s="334"/>
      <c r="F1" s="335"/>
    </row>
    <row r="2" spans="1:21" ht="8.25" customHeight="1" x14ac:dyDescent="0.3">
      <c r="A2"/>
      <c r="B2" s="269"/>
      <c r="C2"/>
      <c r="D2"/>
      <c r="E2"/>
      <c r="F2"/>
    </row>
    <row r="3" spans="1:21" ht="26.25" customHeight="1" x14ac:dyDescent="0.3">
      <c r="A3" s="336" t="s">
        <v>22</v>
      </c>
      <c r="B3" s="337"/>
      <c r="C3" s="337"/>
      <c r="D3" s="337"/>
      <c r="E3" s="337"/>
      <c r="F3" s="338"/>
    </row>
    <row r="4" spans="1:21" ht="22.8" x14ac:dyDescent="0.4">
      <c r="A4" s="74"/>
    </row>
    <row r="5" spans="1:21" ht="32.25" customHeight="1" x14ac:dyDescent="0.3">
      <c r="B5" s="339" t="s">
        <v>127</v>
      </c>
      <c r="C5" s="340"/>
      <c r="D5" s="340"/>
      <c r="E5" s="340"/>
      <c r="F5" s="341"/>
      <c r="G5" s="78"/>
      <c r="U5" s="79">
        <v>333</v>
      </c>
    </row>
    <row r="6" spans="1:21" ht="22.5" customHeight="1" x14ac:dyDescent="0.3">
      <c r="A6" s="79" t="s">
        <v>2</v>
      </c>
      <c r="B6" s="62"/>
      <c r="C6" s="80"/>
      <c r="E6" s="78"/>
      <c r="F6" s="78"/>
      <c r="G6" s="78"/>
    </row>
    <row r="7" spans="1:21" ht="16.5" customHeight="1" x14ac:dyDescent="0.3">
      <c r="C7" s="80"/>
      <c r="E7" s="78"/>
      <c r="F7" s="78"/>
      <c r="G7" s="78"/>
    </row>
    <row r="8" spans="1:21" ht="15.6" x14ac:dyDescent="0.3">
      <c r="A8" s="79" t="s">
        <v>128</v>
      </c>
      <c r="B8" s="81" t="s">
        <v>129</v>
      </c>
      <c r="C8" s="80"/>
      <c r="E8" s="78"/>
      <c r="F8" s="78"/>
      <c r="G8" s="78"/>
    </row>
    <row r="9" spans="1:21" ht="15.6" x14ac:dyDescent="0.3">
      <c r="A9" s="79" t="s">
        <v>130</v>
      </c>
      <c r="B9" s="81" t="s">
        <v>131</v>
      </c>
      <c r="C9" s="80"/>
      <c r="E9" s="78"/>
      <c r="F9" s="78"/>
      <c r="G9" s="78"/>
    </row>
    <row r="10" spans="1:21" x14ac:dyDescent="0.3">
      <c r="C10" s="80"/>
      <c r="E10" s="78"/>
      <c r="F10" s="78"/>
      <c r="G10" s="78"/>
      <c r="L10" s="82" t="s">
        <v>132</v>
      </c>
      <c r="M10" s="83" t="s">
        <v>133</v>
      </c>
    </row>
    <row r="11" spans="1:21" ht="15" thickBot="1" x14ac:dyDescent="0.35">
      <c r="A11" s="79" t="s">
        <v>134</v>
      </c>
      <c r="C11" s="80"/>
      <c r="E11" s="78"/>
      <c r="F11" s="78"/>
      <c r="G11" s="78"/>
    </row>
    <row r="12" spans="1:21" ht="15" thickTop="1" x14ac:dyDescent="0.3">
      <c r="A12" s="84" t="s">
        <v>3</v>
      </c>
      <c r="B12" s="85" t="s">
        <v>135</v>
      </c>
      <c r="C12" s="86" t="s">
        <v>5</v>
      </c>
      <c r="D12" s="87" t="s">
        <v>6</v>
      </c>
      <c r="E12" s="88" t="s">
        <v>28</v>
      </c>
      <c r="F12" s="88" t="s">
        <v>28</v>
      </c>
      <c r="G12" s="89"/>
      <c r="J12" s="61" t="s">
        <v>136</v>
      </c>
    </row>
    <row r="13" spans="1:21" ht="15" thickBot="1" x14ac:dyDescent="0.35">
      <c r="A13" s="90"/>
      <c r="B13" s="91"/>
      <c r="C13" s="92"/>
      <c r="D13" s="93"/>
      <c r="E13" s="94" t="s">
        <v>11</v>
      </c>
      <c r="F13" s="94" t="s">
        <v>10</v>
      </c>
      <c r="G13" s="89"/>
    </row>
    <row r="14" spans="1:21" ht="15" thickTop="1" x14ac:dyDescent="0.3">
      <c r="A14" s="95"/>
      <c r="B14" s="96" t="s">
        <v>137</v>
      </c>
      <c r="C14" s="97"/>
      <c r="D14" s="98">
        <v>1</v>
      </c>
      <c r="E14" s="99">
        <f>+LISTA!F8</f>
        <v>631.9</v>
      </c>
      <c r="F14" s="99">
        <f>ROUND(D14*E14,2)</f>
        <v>631.9</v>
      </c>
      <c r="G14" s="100"/>
      <c r="J14" s="61" t="s">
        <v>138</v>
      </c>
      <c r="L14" s="101">
        <f>+F14</f>
        <v>631.9</v>
      </c>
      <c r="M14" s="101">
        <v>1.56</v>
      </c>
    </row>
    <row r="15" spans="1:21" x14ac:dyDescent="0.3">
      <c r="A15" s="102"/>
      <c r="B15" s="103" t="s">
        <v>139</v>
      </c>
      <c r="C15" s="104"/>
      <c r="D15" s="105">
        <v>0.18</v>
      </c>
      <c r="E15" s="106">
        <f>+E14</f>
        <v>631.9</v>
      </c>
      <c r="F15" s="106">
        <f>ROUND(D15*E15,2)</f>
        <v>113.74</v>
      </c>
      <c r="G15" s="100"/>
      <c r="J15" s="56" t="s">
        <v>140</v>
      </c>
      <c r="K15" s="76">
        <v>0.18</v>
      </c>
      <c r="L15" s="77">
        <f>+L14*K15</f>
        <v>113.74199999999999</v>
      </c>
      <c r="M15" s="77">
        <f>+M14*K15</f>
        <v>0.28079999999999999</v>
      </c>
    </row>
    <row r="16" spans="1:21" x14ac:dyDescent="0.3">
      <c r="A16" s="102"/>
      <c r="B16" s="107" t="s">
        <v>12</v>
      </c>
      <c r="C16" s="108"/>
      <c r="D16" s="109"/>
      <c r="E16" s="100"/>
      <c r="F16" s="100">
        <f>+F14+F15</f>
        <v>745.64</v>
      </c>
      <c r="G16" s="100"/>
      <c r="J16" s="61" t="s">
        <v>12</v>
      </c>
      <c r="L16" s="101">
        <f>+L14+L15</f>
        <v>745.64199999999994</v>
      </c>
      <c r="M16" s="101">
        <f>+M14+M15</f>
        <v>1.8408</v>
      </c>
    </row>
    <row r="17" spans="1:14" x14ac:dyDescent="0.3">
      <c r="A17" s="102"/>
      <c r="B17" s="110" t="s">
        <v>141</v>
      </c>
      <c r="C17" s="108"/>
      <c r="D17" s="111">
        <v>0.57999999999999996</v>
      </c>
      <c r="E17" s="100">
        <f>+F16</f>
        <v>745.64</v>
      </c>
      <c r="F17" s="100">
        <f>ROUND(D17*E17,2)</f>
        <v>432.47</v>
      </c>
      <c r="G17" s="100"/>
      <c r="J17" s="56" t="s">
        <v>142</v>
      </c>
      <c r="K17" s="76">
        <v>0.12</v>
      </c>
      <c r="L17" s="77">
        <f t="shared" ref="L17:L27" si="0">+$K17*$L$16</f>
        <v>89.477039999999988</v>
      </c>
      <c r="M17" s="77">
        <f t="shared" ref="M17:M27" si="1">+$K17*$M$16</f>
        <v>0.22089599999999998</v>
      </c>
    </row>
    <row r="18" spans="1:14" x14ac:dyDescent="0.3">
      <c r="A18" s="102"/>
      <c r="B18" s="107" t="s">
        <v>143</v>
      </c>
      <c r="C18" s="108"/>
      <c r="D18" s="111">
        <v>7.6600000000000001E-2</v>
      </c>
      <c r="E18" s="100">
        <f>E17</f>
        <v>745.64</v>
      </c>
      <c r="F18" s="100">
        <f>ROUND(D18*E18,2)</f>
        <v>57.12</v>
      </c>
      <c r="G18" s="100"/>
      <c r="J18" s="56" t="s">
        <v>144</v>
      </c>
      <c r="K18" s="76">
        <v>7.6600000000000001E-2</v>
      </c>
      <c r="L18" s="77">
        <f t="shared" si="0"/>
        <v>57.116177199999996</v>
      </c>
      <c r="M18" s="77">
        <f t="shared" si="1"/>
        <v>0.14100528000000001</v>
      </c>
    </row>
    <row r="19" spans="1:14" x14ac:dyDescent="0.3">
      <c r="A19" s="102"/>
      <c r="B19" s="107" t="s">
        <v>145</v>
      </c>
      <c r="C19" s="108"/>
      <c r="D19" s="111">
        <v>5.0000000000000001E-3</v>
      </c>
      <c r="E19" s="100">
        <f>E18</f>
        <v>745.64</v>
      </c>
      <c r="F19" s="100">
        <f>ROUND(D19*E19,2)</f>
        <v>3.73</v>
      </c>
      <c r="G19" s="100"/>
      <c r="J19" s="56" t="s">
        <v>146</v>
      </c>
      <c r="K19" s="76">
        <v>0.17</v>
      </c>
      <c r="L19" s="77">
        <f t="shared" si="0"/>
        <v>126.75914</v>
      </c>
      <c r="M19" s="77">
        <f t="shared" si="1"/>
        <v>0.31293600000000005</v>
      </c>
    </row>
    <row r="20" spans="1:14" x14ac:dyDescent="0.3">
      <c r="A20" s="102"/>
      <c r="B20" s="107"/>
      <c r="C20" s="108"/>
      <c r="D20" s="109"/>
      <c r="E20" s="100"/>
      <c r="F20" s="100"/>
      <c r="G20" s="100"/>
      <c r="J20" s="56" t="s">
        <v>147</v>
      </c>
      <c r="K20" s="76">
        <v>0.06</v>
      </c>
      <c r="L20" s="77">
        <f t="shared" si="0"/>
        <v>44.738519999999994</v>
      </c>
      <c r="M20" s="77">
        <f t="shared" si="1"/>
        <v>0.11044799999999999</v>
      </c>
    </row>
    <row r="21" spans="1:14" x14ac:dyDescent="0.3">
      <c r="A21" s="102"/>
      <c r="B21" s="112"/>
      <c r="C21" s="108"/>
      <c r="D21" s="109"/>
      <c r="E21" s="100"/>
      <c r="F21" s="113">
        <f>SUM(F16:F19)</f>
        <v>1238.96</v>
      </c>
      <c r="G21" s="100"/>
      <c r="J21" s="56" t="s">
        <v>148</v>
      </c>
      <c r="K21" s="76">
        <v>8.0000000000000002E-3</v>
      </c>
      <c r="L21" s="77">
        <f t="shared" si="0"/>
        <v>5.9651359999999993</v>
      </c>
      <c r="M21" s="77">
        <f t="shared" si="1"/>
        <v>1.4726400000000001E-2</v>
      </c>
    </row>
    <row r="22" spans="1:14" x14ac:dyDescent="0.3">
      <c r="A22" s="114"/>
      <c r="B22" s="114"/>
      <c r="C22" s="115" t="s">
        <v>10</v>
      </c>
      <c r="D22" s="116"/>
      <c r="E22" s="117"/>
      <c r="F22" s="118">
        <f>+F21</f>
        <v>1238.96</v>
      </c>
      <c r="G22" s="100"/>
      <c r="J22" s="56" t="s">
        <v>149</v>
      </c>
      <c r="K22" s="76">
        <v>5.0000000000000001E-3</v>
      </c>
      <c r="L22" s="77">
        <f t="shared" si="0"/>
        <v>3.7282099999999998</v>
      </c>
      <c r="M22" s="77">
        <f t="shared" si="1"/>
        <v>9.2040000000000004E-3</v>
      </c>
    </row>
    <row r="23" spans="1:14" x14ac:dyDescent="0.3">
      <c r="C23" s="80"/>
      <c r="E23" s="78"/>
      <c r="F23" s="117"/>
      <c r="G23" s="78"/>
      <c r="J23" s="56" t="s">
        <v>150</v>
      </c>
      <c r="K23" s="76">
        <v>2.9000000000000001E-2</v>
      </c>
      <c r="L23" s="77">
        <f t="shared" si="0"/>
        <v>21.623618</v>
      </c>
      <c r="M23" s="77">
        <f t="shared" si="1"/>
        <v>5.3383200000000006E-2</v>
      </c>
    </row>
    <row r="24" spans="1:14" x14ac:dyDescent="0.3">
      <c r="C24" s="80"/>
      <c r="E24" s="78"/>
      <c r="F24" s="78"/>
      <c r="G24" s="78"/>
      <c r="J24" s="56" t="s">
        <v>151</v>
      </c>
      <c r="K24" s="76">
        <v>6.2199999999999998E-2</v>
      </c>
      <c r="L24" s="77">
        <f t="shared" si="0"/>
        <v>46.378932399999997</v>
      </c>
      <c r="M24" s="77">
        <f t="shared" si="1"/>
        <v>0.11449775999999999</v>
      </c>
    </row>
    <row r="25" spans="1:14" ht="15.6" x14ac:dyDescent="0.3">
      <c r="A25" s="79" t="s">
        <v>128</v>
      </c>
      <c r="B25" s="81" t="s">
        <v>129</v>
      </c>
      <c r="C25" s="80"/>
      <c r="E25" s="78"/>
      <c r="F25" s="78"/>
      <c r="G25" s="78"/>
      <c r="J25" s="56" t="s">
        <v>152</v>
      </c>
      <c r="K25" s="76">
        <v>0.11119999999999999</v>
      </c>
      <c r="L25" s="77">
        <f t="shared" si="0"/>
        <v>82.915390399999993</v>
      </c>
      <c r="M25" s="77">
        <f t="shared" si="1"/>
        <v>0.20469695999999998</v>
      </c>
    </row>
    <row r="26" spans="1:14" ht="15.6" x14ac:dyDescent="0.3">
      <c r="A26" s="79" t="s">
        <v>130</v>
      </c>
      <c r="B26" s="81" t="s">
        <v>131</v>
      </c>
      <c r="C26" s="80"/>
      <c r="E26" s="78"/>
      <c r="F26" s="78"/>
      <c r="G26" s="78"/>
      <c r="J26" s="56" t="s">
        <v>153</v>
      </c>
      <c r="K26" s="76">
        <v>1.7999999999999999E-2</v>
      </c>
      <c r="L26" s="77">
        <f t="shared" si="0"/>
        <v>13.421555999999997</v>
      </c>
      <c r="M26" s="77">
        <f t="shared" si="1"/>
        <v>3.3134399999999994E-2</v>
      </c>
    </row>
    <row r="27" spans="1:14" x14ac:dyDescent="0.3">
      <c r="C27" s="80"/>
      <c r="E27" s="78"/>
      <c r="F27" s="78"/>
      <c r="G27" s="78"/>
      <c r="J27" s="56" t="s">
        <v>154</v>
      </c>
      <c r="K27" s="76">
        <v>2E-3</v>
      </c>
      <c r="L27" s="77">
        <f t="shared" si="0"/>
        <v>1.4912839999999998</v>
      </c>
      <c r="M27" s="77">
        <f t="shared" si="1"/>
        <v>3.6816000000000002E-3</v>
      </c>
    </row>
    <row r="28" spans="1:14" ht="13.8" thickBot="1" x14ac:dyDescent="0.3">
      <c r="A28" s="79" t="s">
        <v>155</v>
      </c>
      <c r="C28" s="80"/>
      <c r="E28" s="78"/>
      <c r="F28" s="78"/>
      <c r="G28" s="78"/>
      <c r="J28" s="119" t="s">
        <v>156</v>
      </c>
      <c r="K28" s="120"/>
      <c r="L28" s="121">
        <f>SUM(L16:L27)</f>
        <v>1239.2570040000001</v>
      </c>
      <c r="M28" s="121">
        <f>SUM(M16:M27)</f>
        <v>3.0594095999999995</v>
      </c>
    </row>
    <row r="29" spans="1:14" ht="15.6" thickTop="1" thickBot="1" x14ac:dyDescent="0.35">
      <c r="A29" s="84" t="s">
        <v>3</v>
      </c>
      <c r="B29" s="85" t="s">
        <v>135</v>
      </c>
      <c r="C29" s="86" t="s">
        <v>5</v>
      </c>
      <c r="D29" s="87" t="s">
        <v>6</v>
      </c>
      <c r="E29" s="88" t="s">
        <v>28</v>
      </c>
      <c r="F29" s="88" t="s">
        <v>28</v>
      </c>
      <c r="G29" s="89"/>
      <c r="J29" s="61" t="s">
        <v>157</v>
      </c>
      <c r="L29" s="122">
        <f>+L28/L16</f>
        <v>1.6620000000000001</v>
      </c>
      <c r="M29" s="77">
        <f>150/176</f>
        <v>0.85227272727272729</v>
      </c>
    </row>
    <row r="30" spans="1:14" ht="15" thickBot="1" x14ac:dyDescent="0.35">
      <c r="A30" s="90"/>
      <c r="B30" s="91"/>
      <c r="C30" s="92"/>
      <c r="D30" s="93"/>
      <c r="E30" s="94" t="s">
        <v>11</v>
      </c>
      <c r="F30" s="94" t="s">
        <v>10</v>
      </c>
      <c r="G30" s="89"/>
      <c r="M30" s="123">
        <f>+M28+M29</f>
        <v>3.911682327272727</v>
      </c>
      <c r="N30" s="124">
        <f>+L28/M30</f>
        <v>316.80921412246306</v>
      </c>
    </row>
    <row r="31" spans="1:14" ht="15" thickTop="1" x14ac:dyDescent="0.3">
      <c r="A31" s="95"/>
      <c r="B31" s="96" t="s">
        <v>137</v>
      </c>
      <c r="C31" s="97"/>
      <c r="D31" s="98">
        <v>1</v>
      </c>
      <c r="E31" s="99">
        <f>+LISTA!F9</f>
        <v>197.07</v>
      </c>
      <c r="F31" s="99">
        <f>ROUND(D31*E31,2)</f>
        <v>197.07</v>
      </c>
      <c r="G31" s="100"/>
    </row>
    <row r="32" spans="1:14" x14ac:dyDescent="0.3">
      <c r="A32" s="102"/>
      <c r="B32" s="103" t="s">
        <v>139</v>
      </c>
      <c r="C32" s="104"/>
      <c r="D32" s="105">
        <v>0.18</v>
      </c>
      <c r="E32" s="106">
        <f>+E31</f>
        <v>197.07</v>
      </c>
      <c r="F32" s="106">
        <f>ROUND(D32*E32,2)</f>
        <v>35.47</v>
      </c>
      <c r="G32" s="100"/>
    </row>
    <row r="33" spans="1:13" x14ac:dyDescent="0.3">
      <c r="A33" s="102"/>
      <c r="B33" s="107" t="s">
        <v>12</v>
      </c>
      <c r="C33" s="108"/>
      <c r="D33" s="109"/>
      <c r="E33" s="100"/>
      <c r="F33" s="100">
        <f>+F31+F32</f>
        <v>232.54</v>
      </c>
      <c r="G33" s="100"/>
      <c r="J33" s="61" t="s">
        <v>158</v>
      </c>
    </row>
    <row r="34" spans="1:13" x14ac:dyDescent="0.3">
      <c r="A34" s="102"/>
      <c r="B34" s="107" t="s">
        <v>141</v>
      </c>
      <c r="C34" s="108"/>
      <c r="D34" s="111">
        <v>0.57999999999999996</v>
      </c>
      <c r="E34" s="100">
        <f>+F33</f>
        <v>232.54</v>
      </c>
      <c r="F34" s="100">
        <f>ROUND(D34*E34,2)</f>
        <v>134.87</v>
      </c>
      <c r="G34" s="100"/>
    </row>
    <row r="35" spans="1:13" x14ac:dyDescent="0.3">
      <c r="A35" s="102"/>
      <c r="B35" s="107" t="s">
        <v>143</v>
      </c>
      <c r="C35" s="108"/>
      <c r="D35" s="111">
        <v>7.6600000000000001E-2</v>
      </c>
      <c r="E35" s="100">
        <f>E34</f>
        <v>232.54</v>
      </c>
      <c r="F35" s="100">
        <f>ROUND(D35*E35,2)</f>
        <v>17.809999999999999</v>
      </c>
      <c r="G35" s="100"/>
      <c r="J35" s="61" t="s">
        <v>138</v>
      </c>
      <c r="L35" s="101">
        <f>+F31</f>
        <v>197.07</v>
      </c>
      <c r="M35" s="101">
        <v>1.48</v>
      </c>
    </row>
    <row r="36" spans="1:13" x14ac:dyDescent="0.3">
      <c r="A36" s="102"/>
      <c r="B36" s="107" t="s">
        <v>145</v>
      </c>
      <c r="C36" s="108"/>
      <c r="D36" s="111">
        <v>5.0000000000000001E-3</v>
      </c>
      <c r="E36" s="100">
        <f>E35</f>
        <v>232.54</v>
      </c>
      <c r="F36" s="100">
        <f>ROUND(D36*E36,2)</f>
        <v>1.1599999999999999</v>
      </c>
      <c r="G36" s="100"/>
      <c r="J36" s="56" t="s">
        <v>140</v>
      </c>
      <c r="K36" s="76">
        <f>+K15</f>
        <v>0.18</v>
      </c>
      <c r="L36" s="77">
        <f>+L35*K36</f>
        <v>35.4726</v>
      </c>
      <c r="M36" s="77">
        <f>+M35*K36</f>
        <v>0.26639999999999997</v>
      </c>
    </row>
    <row r="37" spans="1:13" x14ac:dyDescent="0.3">
      <c r="A37" s="102"/>
      <c r="B37" s="107"/>
      <c r="C37" s="108"/>
      <c r="D37" s="109"/>
      <c r="E37" s="100"/>
      <c r="F37" s="100"/>
      <c r="G37" s="100"/>
      <c r="J37" s="61" t="s">
        <v>12</v>
      </c>
      <c r="K37" s="76">
        <f t="shared" ref="K37:K48" si="2">+K16</f>
        <v>0</v>
      </c>
      <c r="L37" s="101">
        <f>+L35+L36</f>
        <v>232.54259999999999</v>
      </c>
      <c r="M37" s="101">
        <f>+M35+M36</f>
        <v>1.7464</v>
      </c>
    </row>
    <row r="38" spans="1:13" x14ac:dyDescent="0.3">
      <c r="A38" s="102"/>
      <c r="B38" s="112"/>
      <c r="C38" s="108"/>
      <c r="D38" s="109"/>
      <c r="E38" s="100"/>
      <c r="F38" s="113">
        <f>SUM(F33:F37)</f>
        <v>386.38</v>
      </c>
      <c r="G38" s="100"/>
      <c r="J38" s="56" t="s">
        <v>142</v>
      </c>
      <c r="K38" s="76">
        <f t="shared" si="2"/>
        <v>0.12</v>
      </c>
      <c r="L38" s="77">
        <f t="shared" ref="L38:L48" si="3">+$K38*$L$37</f>
        <v>27.905111999999999</v>
      </c>
      <c r="M38" s="77">
        <f t="shared" ref="M38:M48" si="4">+$K38*$M$37</f>
        <v>0.20956799999999998</v>
      </c>
    </row>
    <row r="39" spans="1:13" x14ac:dyDescent="0.3">
      <c r="A39" s="114"/>
      <c r="B39" s="114"/>
      <c r="C39" s="115" t="s">
        <v>10</v>
      </c>
      <c r="D39" s="116"/>
      <c r="E39" s="117"/>
      <c r="F39" s="118">
        <f>+F38</f>
        <v>386.38</v>
      </c>
      <c r="G39" s="100"/>
      <c r="J39" s="56" t="s">
        <v>144</v>
      </c>
      <c r="K39" s="76">
        <f t="shared" si="2"/>
        <v>7.6600000000000001E-2</v>
      </c>
      <c r="L39" s="77">
        <f t="shared" si="3"/>
        <v>17.812763159999999</v>
      </c>
      <c r="M39" s="77">
        <f t="shared" si="4"/>
        <v>0.13377423999999999</v>
      </c>
    </row>
    <row r="40" spans="1:13" x14ac:dyDescent="0.3">
      <c r="C40" s="80"/>
      <c r="E40" s="78"/>
      <c r="F40" s="117"/>
      <c r="G40" s="78"/>
      <c r="J40" s="56" t="s">
        <v>146</v>
      </c>
      <c r="K40" s="76">
        <f t="shared" si="2"/>
        <v>0.17</v>
      </c>
      <c r="L40" s="77">
        <f t="shared" si="3"/>
        <v>39.532242000000004</v>
      </c>
      <c r="M40" s="77">
        <f t="shared" si="4"/>
        <v>0.29688800000000004</v>
      </c>
    </row>
    <row r="41" spans="1:13" ht="15.6" x14ac:dyDescent="0.3">
      <c r="A41" s="79" t="s">
        <v>128</v>
      </c>
      <c r="B41" s="81" t="s">
        <v>159</v>
      </c>
      <c r="C41" s="80"/>
      <c r="D41" s="125"/>
      <c r="E41" s="78"/>
      <c r="F41" s="78"/>
      <c r="G41" s="78"/>
      <c r="J41" s="56" t="s">
        <v>147</v>
      </c>
      <c r="K41" s="76">
        <f t="shared" si="2"/>
        <v>0.06</v>
      </c>
      <c r="L41" s="77">
        <f t="shared" si="3"/>
        <v>13.952556</v>
      </c>
      <c r="M41" s="77">
        <f t="shared" si="4"/>
        <v>0.10478399999999999</v>
      </c>
    </row>
    <row r="42" spans="1:13" ht="15.6" x14ac:dyDescent="0.3">
      <c r="A42" s="79" t="s">
        <v>130</v>
      </c>
      <c r="B42" s="81" t="s">
        <v>160</v>
      </c>
      <c r="C42" s="80"/>
      <c r="D42" s="125"/>
      <c r="E42" s="78"/>
      <c r="F42" s="78"/>
      <c r="G42" s="78"/>
      <c r="J42" s="56" t="s">
        <v>148</v>
      </c>
      <c r="K42" s="76">
        <f t="shared" si="2"/>
        <v>8.0000000000000002E-3</v>
      </c>
      <c r="L42" s="77">
        <f t="shared" si="3"/>
        <v>1.8603407999999999</v>
      </c>
      <c r="M42" s="77">
        <f t="shared" si="4"/>
        <v>1.39712E-2</v>
      </c>
    </row>
    <row r="43" spans="1:13" x14ac:dyDescent="0.3">
      <c r="C43" s="80"/>
      <c r="D43" s="125"/>
      <c r="E43" s="78"/>
      <c r="F43" s="78"/>
      <c r="G43" s="78"/>
      <c r="J43" s="56" t="s">
        <v>149</v>
      </c>
      <c r="K43" s="76">
        <f t="shared" si="2"/>
        <v>5.0000000000000001E-3</v>
      </c>
      <c r="L43" s="77">
        <f t="shared" si="3"/>
        <v>1.1627129999999999</v>
      </c>
      <c r="M43" s="77">
        <f t="shared" si="4"/>
        <v>8.7320000000000002E-3</v>
      </c>
    </row>
    <row r="44" spans="1:13" ht="15" thickBot="1" x14ac:dyDescent="0.35">
      <c r="A44" s="79" t="s">
        <v>161</v>
      </c>
      <c r="C44" s="80"/>
      <c r="D44" s="125"/>
      <c r="E44" s="78"/>
      <c r="F44" s="78"/>
      <c r="G44" s="78"/>
      <c r="J44" s="56" t="s">
        <v>150</v>
      </c>
      <c r="K44" s="76">
        <f t="shared" si="2"/>
        <v>2.9000000000000001E-2</v>
      </c>
      <c r="L44" s="77">
        <f t="shared" si="3"/>
        <v>6.7437354000000003</v>
      </c>
      <c r="M44" s="77">
        <f t="shared" si="4"/>
        <v>5.0645599999999999E-2</v>
      </c>
    </row>
    <row r="45" spans="1:13" ht="15" thickTop="1" x14ac:dyDescent="0.3">
      <c r="A45" s="84" t="s">
        <v>3</v>
      </c>
      <c r="B45" s="85" t="s">
        <v>135</v>
      </c>
      <c r="C45" s="86" t="s">
        <v>5</v>
      </c>
      <c r="D45" s="87" t="s">
        <v>6</v>
      </c>
      <c r="E45" s="88" t="s">
        <v>28</v>
      </c>
      <c r="F45" s="88" t="s">
        <v>28</v>
      </c>
      <c r="G45" s="89"/>
      <c r="J45" s="56" t="s">
        <v>151</v>
      </c>
      <c r="K45" s="76">
        <f t="shared" si="2"/>
        <v>6.2199999999999998E-2</v>
      </c>
      <c r="L45" s="77">
        <f t="shared" si="3"/>
        <v>14.46414972</v>
      </c>
      <c r="M45" s="77">
        <f t="shared" si="4"/>
        <v>0.10862608</v>
      </c>
    </row>
    <row r="46" spans="1:13" ht="15" thickBot="1" x14ac:dyDescent="0.35">
      <c r="A46" s="90"/>
      <c r="B46" s="91"/>
      <c r="C46" s="92"/>
      <c r="D46" s="93"/>
      <c r="E46" s="94" t="s">
        <v>11</v>
      </c>
      <c r="F46" s="94" t="s">
        <v>10</v>
      </c>
      <c r="G46" s="89"/>
      <c r="J46" s="56" t="s">
        <v>152</v>
      </c>
      <c r="K46" s="76">
        <f t="shared" si="2"/>
        <v>0.11119999999999999</v>
      </c>
      <c r="L46" s="77">
        <f t="shared" si="3"/>
        <v>25.858737119999997</v>
      </c>
      <c r="M46" s="77">
        <f t="shared" si="4"/>
        <v>0.19419967999999999</v>
      </c>
    </row>
    <row r="47" spans="1:13" ht="15" thickTop="1" x14ac:dyDescent="0.3">
      <c r="A47" s="95"/>
      <c r="B47" s="95" t="s">
        <v>162</v>
      </c>
      <c r="C47" s="126" t="s">
        <v>163</v>
      </c>
      <c r="D47" s="127">
        <v>80</v>
      </c>
      <c r="E47" s="128">
        <v>40</v>
      </c>
      <c r="F47" s="129">
        <f>ROUND(D47*E47,2)</f>
        <v>3200</v>
      </c>
      <c r="G47" s="100"/>
      <c r="J47" s="56" t="s">
        <v>153</v>
      </c>
      <c r="K47" s="76">
        <f t="shared" si="2"/>
        <v>1.7999999999999999E-2</v>
      </c>
      <c r="L47" s="77">
        <f t="shared" si="3"/>
        <v>4.1857667999999997</v>
      </c>
      <c r="M47" s="77">
        <f t="shared" si="4"/>
        <v>3.1435199999999996E-2</v>
      </c>
    </row>
    <row r="48" spans="1:13" x14ac:dyDescent="0.3">
      <c r="A48" s="102"/>
      <c r="B48" s="102" t="s">
        <v>164</v>
      </c>
      <c r="C48" s="108" t="s">
        <v>163</v>
      </c>
      <c r="D48" s="109">
        <v>80</v>
      </c>
      <c r="E48" s="130">
        <v>80</v>
      </c>
      <c r="F48" s="131">
        <f>ROUND(D48*E48,2)</f>
        <v>6400</v>
      </c>
      <c r="G48" s="100"/>
      <c r="J48" s="56" t="s">
        <v>154</v>
      </c>
      <c r="K48" s="76">
        <f t="shared" si="2"/>
        <v>2E-3</v>
      </c>
      <c r="L48" s="77">
        <f t="shared" si="3"/>
        <v>0.46508519999999998</v>
      </c>
      <c r="M48" s="77">
        <f t="shared" si="4"/>
        <v>3.4927999999999999E-3</v>
      </c>
    </row>
    <row r="49" spans="1:14" ht="13.2" x14ac:dyDescent="0.25">
      <c r="A49" s="102"/>
      <c r="B49" s="102"/>
      <c r="C49" s="108"/>
      <c r="D49" s="109"/>
      <c r="E49" s="130"/>
      <c r="F49" s="130"/>
      <c r="G49" s="100"/>
      <c r="J49" s="119" t="s">
        <v>156</v>
      </c>
      <c r="K49" s="120"/>
      <c r="L49" s="121">
        <f>SUM(L37:L48)</f>
        <v>386.48580119999997</v>
      </c>
      <c r="M49" s="121">
        <f>SUM(M37:M48)</f>
        <v>2.9025168000000008</v>
      </c>
    </row>
    <row r="50" spans="1:14" ht="15" thickBot="1" x14ac:dyDescent="0.35">
      <c r="A50" s="114"/>
      <c r="B50" s="114"/>
      <c r="C50" s="115"/>
      <c r="D50" s="116" t="s">
        <v>165</v>
      </c>
      <c r="E50" s="117"/>
      <c r="F50" s="132"/>
      <c r="G50" s="113">
        <f>SUM(F47:F49)</f>
        <v>9600</v>
      </c>
      <c r="H50" s="91"/>
      <c r="J50" s="61" t="s">
        <v>157</v>
      </c>
      <c r="L50" s="122">
        <f>+L49/L37</f>
        <v>1.6619999999999999</v>
      </c>
      <c r="M50" s="77">
        <f>150/176</f>
        <v>0.85227272727272729</v>
      </c>
      <c r="N50" s="133">
        <f>+M49/M35</f>
        <v>1.9611600000000005</v>
      </c>
    </row>
    <row r="51" spans="1:14" ht="15" thickBot="1" x14ac:dyDescent="0.35">
      <c r="C51" s="80"/>
      <c r="D51" s="125"/>
      <c r="E51" s="78"/>
      <c r="F51" s="78"/>
      <c r="G51" s="117"/>
      <c r="M51" s="123">
        <f>+M49+M50</f>
        <v>3.7547895272727283</v>
      </c>
      <c r="N51" s="124">
        <f>+L49/M51</f>
        <v>102.93141556744511</v>
      </c>
    </row>
    <row r="52" spans="1:14" ht="15" thickBot="1" x14ac:dyDescent="0.35">
      <c r="A52" s="79" t="s">
        <v>166</v>
      </c>
      <c r="C52" s="80"/>
      <c r="D52" s="125"/>
      <c r="E52" s="78"/>
      <c r="F52" s="78"/>
      <c r="G52" s="78"/>
    </row>
    <row r="53" spans="1:14" ht="15" thickTop="1" x14ac:dyDescent="0.3">
      <c r="A53" s="84" t="s">
        <v>3</v>
      </c>
      <c r="B53" s="85" t="s">
        <v>135</v>
      </c>
      <c r="C53" s="86" t="s">
        <v>5</v>
      </c>
      <c r="D53" s="87" t="s">
        <v>6</v>
      </c>
      <c r="E53" s="88" t="s">
        <v>28</v>
      </c>
      <c r="F53" s="88" t="s">
        <v>28</v>
      </c>
      <c r="G53" s="89"/>
    </row>
    <row r="54" spans="1:14" ht="15" thickBot="1" x14ac:dyDescent="0.35">
      <c r="A54" s="90"/>
      <c r="B54" s="91"/>
      <c r="C54" s="92"/>
      <c r="D54" s="93"/>
      <c r="E54" s="94" t="s">
        <v>11</v>
      </c>
      <c r="F54" s="94" t="s">
        <v>10</v>
      </c>
      <c r="G54" s="89"/>
    </row>
    <row r="55" spans="1:14" ht="15" thickTop="1" x14ac:dyDescent="0.3">
      <c r="A55" s="95"/>
      <c r="B55" s="95" t="s">
        <v>167</v>
      </c>
      <c r="C55" s="126" t="s">
        <v>168</v>
      </c>
      <c r="D55" s="127">
        <v>80</v>
      </c>
      <c r="E55" s="134">
        <f>+$F$22</f>
        <v>1238.96</v>
      </c>
      <c r="F55" s="128">
        <f>ROUND(D55*E55,2)</f>
        <v>99116.800000000003</v>
      </c>
      <c r="G55" s="100"/>
    </row>
    <row r="56" spans="1:14" x14ac:dyDescent="0.3">
      <c r="A56" s="102"/>
      <c r="B56" s="102" t="s">
        <v>169</v>
      </c>
      <c r="C56" s="108" t="s">
        <v>168</v>
      </c>
      <c r="D56" s="109">
        <v>160</v>
      </c>
      <c r="E56" s="100">
        <f>+$F$39</f>
        <v>386.38</v>
      </c>
      <c r="F56" s="130">
        <f>ROUND(D56*E56,2)</f>
        <v>61820.800000000003</v>
      </c>
      <c r="G56" s="100"/>
    </row>
    <row r="57" spans="1:14" x14ac:dyDescent="0.3">
      <c r="A57" s="114"/>
      <c r="B57" s="114"/>
      <c r="C57" s="115"/>
      <c r="D57" s="116" t="s">
        <v>170</v>
      </c>
      <c r="E57" s="117"/>
      <c r="F57" s="132"/>
      <c r="G57" s="113">
        <f>SUM(F55:F56)</f>
        <v>160937.60000000001</v>
      </c>
      <c r="H57" s="91"/>
    </row>
    <row r="58" spans="1:14" ht="15" thickBot="1" x14ac:dyDescent="0.35">
      <c r="C58" s="80"/>
      <c r="D58" s="125"/>
      <c r="E58" s="78"/>
      <c r="F58" s="78"/>
      <c r="G58" s="117"/>
    </row>
    <row r="59" spans="1:14" ht="15.6" thickTop="1" thickBot="1" x14ac:dyDescent="0.35">
      <c r="D59" s="125" t="s">
        <v>171</v>
      </c>
      <c r="E59" s="78"/>
      <c r="F59" s="78"/>
      <c r="G59" s="135">
        <f>SUM(G50:G57)</f>
        <v>170537.60000000001</v>
      </c>
      <c r="H59" s="136"/>
    </row>
    <row r="60" spans="1:14" ht="15" thickTop="1" x14ac:dyDescent="0.3">
      <c r="D60" s="125"/>
      <c r="E60" s="78"/>
      <c r="F60" s="78"/>
      <c r="G60" s="137"/>
    </row>
    <row r="61" spans="1:14" ht="15.6" x14ac:dyDescent="0.3">
      <c r="A61" s="246" t="s">
        <v>128</v>
      </c>
      <c r="B61" s="247" t="s">
        <v>344</v>
      </c>
      <c r="C61" s="150"/>
      <c r="D61" s="191"/>
      <c r="E61" s="152"/>
      <c r="F61" s="152"/>
      <c r="G61" s="152"/>
    </row>
    <row r="62" spans="1:14" ht="15.6" x14ac:dyDescent="0.3">
      <c r="A62" s="246" t="s">
        <v>130</v>
      </c>
      <c r="B62" s="247" t="s">
        <v>41</v>
      </c>
      <c r="C62" s="150"/>
      <c r="D62" s="191"/>
      <c r="E62" s="152"/>
      <c r="F62" s="152"/>
      <c r="G62" s="152"/>
    </row>
    <row r="63" spans="1:14" x14ac:dyDescent="0.3">
      <c r="A63"/>
      <c r="B63"/>
      <c r="C63" s="150"/>
      <c r="D63" s="191"/>
      <c r="E63" s="152"/>
      <c r="F63" s="152"/>
      <c r="G63" s="152"/>
    </row>
    <row r="64" spans="1:14" ht="15" thickBot="1" x14ac:dyDescent="0.35">
      <c r="A64" s="246" t="s">
        <v>161</v>
      </c>
      <c r="B64"/>
      <c r="C64" s="150"/>
      <c r="D64" s="191"/>
      <c r="E64" s="152"/>
      <c r="F64" s="152"/>
      <c r="G64" s="152"/>
    </row>
    <row r="65" spans="1:7" ht="15" thickTop="1" x14ac:dyDescent="0.3">
      <c r="A65" s="248" t="s">
        <v>3</v>
      </c>
      <c r="B65" s="249" t="s">
        <v>135</v>
      </c>
      <c r="C65" s="250" t="s">
        <v>5</v>
      </c>
      <c r="D65" s="251" t="s">
        <v>6</v>
      </c>
      <c r="E65" s="252" t="s">
        <v>28</v>
      </c>
      <c r="F65" s="252" t="s">
        <v>28</v>
      </c>
      <c r="G65" s="159"/>
    </row>
    <row r="66" spans="1:7" ht="15" thickBot="1" x14ac:dyDescent="0.35">
      <c r="A66" s="253"/>
      <c r="B66" s="254"/>
      <c r="C66" s="255"/>
      <c r="D66" s="256"/>
      <c r="E66" s="257" t="s">
        <v>11</v>
      </c>
      <c r="F66" s="257" t="s">
        <v>10</v>
      </c>
      <c r="G66" s="159"/>
    </row>
    <row r="67" spans="1:7" ht="15" thickTop="1" x14ac:dyDescent="0.3">
      <c r="A67" s="165"/>
      <c r="B67" s="165"/>
      <c r="C67" s="167"/>
      <c r="D67" s="258"/>
      <c r="E67" s="259"/>
      <c r="F67" s="260"/>
      <c r="G67" s="170"/>
    </row>
    <row r="68" spans="1:7" x14ac:dyDescent="0.3">
      <c r="A68" s="171"/>
      <c r="B68" s="171"/>
      <c r="C68" s="173"/>
      <c r="D68" s="261"/>
      <c r="E68" s="262"/>
      <c r="F68" s="263"/>
      <c r="G68" s="170"/>
    </row>
    <row r="69" spans="1:7" x14ac:dyDescent="0.3">
      <c r="A69" s="171"/>
      <c r="B69" s="171"/>
      <c r="C69" s="173"/>
      <c r="D69" s="261"/>
      <c r="E69" s="262"/>
      <c r="F69" s="262"/>
      <c r="G69" s="170"/>
    </row>
    <row r="70" spans="1:7" x14ac:dyDescent="0.3">
      <c r="A70" s="175"/>
      <c r="B70" s="175"/>
      <c r="C70" s="264"/>
      <c r="D70" s="265" t="s">
        <v>165</v>
      </c>
      <c r="E70" s="178"/>
      <c r="F70" s="266"/>
      <c r="G70" s="277">
        <f>SUM(F67:F69)</f>
        <v>0</v>
      </c>
    </row>
    <row r="71" spans="1:7" x14ac:dyDescent="0.3">
      <c r="A71"/>
      <c r="B71"/>
      <c r="C71" s="150"/>
      <c r="D71" s="191"/>
      <c r="E71" s="152"/>
      <c r="F71" s="152"/>
      <c r="G71" s="178"/>
    </row>
    <row r="72" spans="1:7" ht="15" thickBot="1" x14ac:dyDescent="0.35">
      <c r="A72" s="246" t="s">
        <v>166</v>
      </c>
      <c r="B72"/>
      <c r="C72" s="150"/>
      <c r="D72" s="191"/>
      <c r="E72" s="152"/>
      <c r="F72" s="152"/>
      <c r="G72" s="152"/>
    </row>
    <row r="73" spans="1:7" ht="15" thickTop="1" x14ac:dyDescent="0.3">
      <c r="A73" s="248" t="s">
        <v>3</v>
      </c>
      <c r="B73" s="249" t="s">
        <v>135</v>
      </c>
      <c r="C73" s="250" t="s">
        <v>5</v>
      </c>
      <c r="D73" s="251" t="s">
        <v>6</v>
      </c>
      <c r="E73" s="252" t="s">
        <v>28</v>
      </c>
      <c r="F73" s="252" t="s">
        <v>28</v>
      </c>
      <c r="G73" s="159"/>
    </row>
    <row r="74" spans="1:7" ht="15" thickBot="1" x14ac:dyDescent="0.35">
      <c r="A74" s="253"/>
      <c r="B74" s="254"/>
      <c r="C74" s="255"/>
      <c r="D74" s="256"/>
      <c r="E74" s="257" t="s">
        <v>11</v>
      </c>
      <c r="F74" s="257" t="s">
        <v>10</v>
      </c>
      <c r="G74" s="159"/>
    </row>
    <row r="75" spans="1:7" ht="15" thickTop="1" x14ac:dyDescent="0.3">
      <c r="A75" s="165"/>
      <c r="B75" s="165" t="s">
        <v>167</v>
      </c>
      <c r="C75" s="167" t="s">
        <v>168</v>
      </c>
      <c r="D75" s="258">
        <v>0</v>
      </c>
      <c r="E75" s="169">
        <f>+$F$22</f>
        <v>1238.96</v>
      </c>
      <c r="F75" s="259">
        <f>ROUND(D75*E75,2)</f>
        <v>0</v>
      </c>
      <c r="G75" s="170"/>
    </row>
    <row r="76" spans="1:7" x14ac:dyDescent="0.3">
      <c r="A76" s="171"/>
      <c r="B76" s="171" t="s">
        <v>169</v>
      </c>
      <c r="C76" s="173" t="s">
        <v>168</v>
      </c>
      <c r="D76" s="261">
        <v>0.01</v>
      </c>
      <c r="E76" s="170">
        <f>+$F$39</f>
        <v>386.38</v>
      </c>
      <c r="F76" s="262">
        <f>ROUND(D76*E76,2)</f>
        <v>3.86</v>
      </c>
      <c r="G76" s="170"/>
    </row>
    <row r="77" spans="1:7" x14ac:dyDescent="0.3">
      <c r="A77" s="175"/>
      <c r="B77" s="175"/>
      <c r="C77" s="264"/>
      <c r="D77" s="265" t="s">
        <v>170</v>
      </c>
      <c r="E77" s="178"/>
      <c r="F77" s="266"/>
      <c r="G77" s="277">
        <f>SUM(F75:F76)</f>
        <v>3.86</v>
      </c>
    </row>
    <row r="78" spans="1:7" ht="15" thickBot="1" x14ac:dyDescent="0.35">
      <c r="A78"/>
      <c r="B78"/>
      <c r="C78" s="150"/>
      <c r="D78" s="191"/>
      <c r="E78" s="152"/>
      <c r="F78" s="152"/>
      <c r="G78" s="178"/>
    </row>
    <row r="79" spans="1:7" ht="15" thickBot="1" x14ac:dyDescent="0.35">
      <c r="A79"/>
      <c r="B79"/>
      <c r="C79"/>
      <c r="D79" s="191" t="s">
        <v>171</v>
      </c>
      <c r="E79" s="152"/>
      <c r="F79" s="152"/>
      <c r="G79" s="276">
        <f>SUM(G70:G77)</f>
        <v>3.86</v>
      </c>
    </row>
    <row r="80" spans="1:7" x14ac:dyDescent="0.3">
      <c r="A80"/>
      <c r="B80"/>
      <c r="C80"/>
      <c r="D80" s="191"/>
      <c r="E80" s="152"/>
      <c r="F80" s="152"/>
      <c r="G80" s="267"/>
    </row>
    <row r="81" spans="1:8" x14ac:dyDescent="0.3">
      <c r="A81"/>
      <c r="B81"/>
      <c r="C81"/>
      <c r="D81" s="191"/>
      <c r="E81" s="152" t="s">
        <v>562</v>
      </c>
      <c r="F81" s="152"/>
      <c r="G81" s="267">
        <f>+G79*300</f>
        <v>1158</v>
      </c>
    </row>
    <row r="82" spans="1:8" ht="15.6" x14ac:dyDescent="0.3">
      <c r="A82" s="79" t="s">
        <v>128</v>
      </c>
      <c r="B82" s="81" t="s">
        <v>172</v>
      </c>
      <c r="C82" s="80"/>
      <c r="D82" s="125"/>
      <c r="E82" s="78"/>
      <c r="F82" s="78"/>
      <c r="G82" s="78"/>
    </row>
    <row r="83" spans="1:8" ht="15.6" x14ac:dyDescent="0.3">
      <c r="A83" s="79" t="s">
        <v>130</v>
      </c>
      <c r="B83" s="81" t="s">
        <v>160</v>
      </c>
      <c r="C83" s="80"/>
      <c r="D83" s="125"/>
      <c r="E83" s="78"/>
      <c r="F83" s="78"/>
      <c r="G83" s="78"/>
    </row>
    <row r="84" spans="1:8" x14ac:dyDescent="0.3">
      <c r="C84" s="80"/>
      <c r="D84" s="125"/>
      <c r="E84" s="78"/>
      <c r="F84" s="78"/>
      <c r="G84" s="78"/>
    </row>
    <row r="85" spans="1:8" ht="15" thickBot="1" x14ac:dyDescent="0.35">
      <c r="A85" s="79" t="s">
        <v>161</v>
      </c>
      <c r="C85" s="80"/>
      <c r="D85" s="125"/>
      <c r="E85" s="78"/>
      <c r="F85" s="78"/>
      <c r="G85" s="78"/>
    </row>
    <row r="86" spans="1:8" ht="15" thickTop="1" x14ac:dyDescent="0.3">
      <c r="A86" s="84" t="s">
        <v>3</v>
      </c>
      <c r="B86" s="85" t="s">
        <v>135</v>
      </c>
      <c r="C86" s="86" t="s">
        <v>5</v>
      </c>
      <c r="D86" s="87" t="s">
        <v>6</v>
      </c>
      <c r="E86" s="88" t="s">
        <v>28</v>
      </c>
      <c r="F86" s="88" t="s">
        <v>28</v>
      </c>
      <c r="G86" s="89"/>
    </row>
    <row r="87" spans="1:8" ht="15" thickBot="1" x14ac:dyDescent="0.35">
      <c r="A87" s="90"/>
      <c r="B87" s="91"/>
      <c r="C87" s="92"/>
      <c r="D87" s="93"/>
      <c r="E87" s="94" t="s">
        <v>11</v>
      </c>
      <c r="F87" s="94" t="s">
        <v>10</v>
      </c>
      <c r="G87" s="89"/>
    </row>
    <row r="88" spans="1:8" ht="15" thickTop="1" x14ac:dyDescent="0.3">
      <c r="A88" s="95"/>
      <c r="B88" s="95" t="s">
        <v>173</v>
      </c>
      <c r="C88" s="126" t="s">
        <v>174</v>
      </c>
      <c r="D88" s="127">
        <v>60</v>
      </c>
      <c r="E88" s="128">
        <v>0.9</v>
      </c>
      <c r="F88" s="128">
        <f>ROUND(D88*E88,2)</f>
        <v>54</v>
      </c>
      <c r="G88" s="100"/>
    </row>
    <row r="89" spans="1:8" x14ac:dyDescent="0.3">
      <c r="A89" s="102"/>
      <c r="B89" s="102" t="s">
        <v>175</v>
      </c>
      <c r="C89" s="108" t="s">
        <v>33</v>
      </c>
      <c r="D89" s="109">
        <v>80</v>
      </c>
      <c r="E89" s="130">
        <v>0.82799999999999996</v>
      </c>
      <c r="F89" s="130">
        <f>ROUND(D89*E89,2)</f>
        <v>66.239999999999995</v>
      </c>
      <c r="G89" s="102"/>
    </row>
    <row r="90" spans="1:8" x14ac:dyDescent="0.3">
      <c r="A90" s="102"/>
      <c r="B90" s="102" t="s">
        <v>176</v>
      </c>
      <c r="C90" s="108" t="s">
        <v>174</v>
      </c>
      <c r="D90" s="109">
        <v>4</v>
      </c>
      <c r="E90" s="130">
        <v>2.8</v>
      </c>
      <c r="F90" s="130">
        <f>ROUND(D90*E90,2)</f>
        <v>11.2</v>
      </c>
      <c r="G90" s="102"/>
    </row>
    <row r="91" spans="1:8" x14ac:dyDescent="0.3">
      <c r="A91" s="102"/>
      <c r="B91" s="102" t="s">
        <v>75</v>
      </c>
      <c r="C91" s="108" t="s">
        <v>76</v>
      </c>
      <c r="D91" s="109">
        <v>4</v>
      </c>
      <c r="E91" s="130">
        <v>3</v>
      </c>
      <c r="F91" s="130">
        <f>ROUND(D91*E91,2)</f>
        <v>12</v>
      </c>
      <c r="G91" s="100"/>
    </row>
    <row r="92" spans="1:8" x14ac:dyDescent="0.3">
      <c r="A92" s="102"/>
      <c r="B92" s="102" t="s">
        <v>78</v>
      </c>
      <c r="C92" s="108" t="s">
        <v>76</v>
      </c>
      <c r="D92" s="109">
        <v>4</v>
      </c>
      <c r="E92" s="130">
        <v>4.1949152542372881</v>
      </c>
      <c r="F92" s="130">
        <f>ROUND(D92*E92,2)</f>
        <v>16.78</v>
      </c>
      <c r="G92" s="102"/>
    </row>
    <row r="93" spans="1:8" x14ac:dyDescent="0.3">
      <c r="A93" s="114"/>
      <c r="B93" s="114"/>
      <c r="C93" s="115"/>
      <c r="D93" s="116" t="s">
        <v>165</v>
      </c>
      <c r="E93" s="117"/>
      <c r="F93" s="132"/>
      <c r="G93" s="113">
        <f>SUM(F88:F92)</f>
        <v>160.22</v>
      </c>
      <c r="H93" s="91"/>
    </row>
    <row r="94" spans="1:8" x14ac:dyDescent="0.3">
      <c r="C94" s="80"/>
      <c r="D94" s="125"/>
      <c r="E94" s="78"/>
      <c r="F94" s="78"/>
      <c r="G94" s="117"/>
    </row>
    <row r="95" spans="1:8" ht="15" thickBot="1" x14ac:dyDescent="0.35">
      <c r="A95" s="79" t="s">
        <v>166</v>
      </c>
      <c r="C95" s="80"/>
      <c r="D95" s="125"/>
      <c r="E95" s="78"/>
      <c r="F95" s="78"/>
      <c r="G95" s="78"/>
    </row>
    <row r="96" spans="1:8" ht="15" thickTop="1" x14ac:dyDescent="0.3">
      <c r="A96" s="84" t="s">
        <v>3</v>
      </c>
      <c r="B96" s="85" t="s">
        <v>135</v>
      </c>
      <c r="C96" s="86" t="s">
        <v>5</v>
      </c>
      <c r="D96" s="87" t="s">
        <v>6</v>
      </c>
      <c r="E96" s="88" t="s">
        <v>28</v>
      </c>
      <c r="F96" s="88" t="s">
        <v>28</v>
      </c>
      <c r="G96" s="89"/>
    </row>
    <row r="97" spans="1:8" ht="15" thickBot="1" x14ac:dyDescent="0.35">
      <c r="A97" s="90"/>
      <c r="B97" s="91"/>
      <c r="C97" s="92"/>
      <c r="D97" s="93"/>
      <c r="E97" s="94" t="s">
        <v>11</v>
      </c>
      <c r="F97" s="94" t="s">
        <v>10</v>
      </c>
      <c r="G97" s="89"/>
    </row>
    <row r="98" spans="1:8" ht="15" thickTop="1" x14ac:dyDescent="0.3">
      <c r="A98" s="95"/>
      <c r="B98" s="95" t="s">
        <v>177</v>
      </c>
      <c r="C98" s="126" t="s">
        <v>168</v>
      </c>
      <c r="D98" s="127">
        <v>20</v>
      </c>
      <c r="E98" s="134">
        <f>+$F$22*1.2</f>
        <v>1486.752</v>
      </c>
      <c r="F98" s="128">
        <f>ROUND(D98*E98,2)</f>
        <v>29735.040000000001</v>
      </c>
      <c r="G98" s="100"/>
    </row>
    <row r="99" spans="1:8" x14ac:dyDescent="0.3">
      <c r="A99" s="102"/>
      <c r="B99" s="102" t="s">
        <v>178</v>
      </c>
      <c r="C99" s="108" t="s">
        <v>168</v>
      </c>
      <c r="D99" s="109">
        <v>20</v>
      </c>
      <c r="E99" s="138">
        <f>+$F$22*1.2</f>
        <v>1486.752</v>
      </c>
      <c r="F99" s="130">
        <f>ROUND(D99*E99,2)</f>
        <v>29735.040000000001</v>
      </c>
      <c r="G99" s="100"/>
    </row>
    <row r="100" spans="1:8" x14ac:dyDescent="0.3">
      <c r="A100" s="102"/>
      <c r="B100" s="102" t="s">
        <v>167</v>
      </c>
      <c r="C100" s="108" t="s">
        <v>168</v>
      </c>
      <c r="D100" s="109">
        <v>4</v>
      </c>
      <c r="E100" s="138">
        <f>+$F$22</f>
        <v>1238.96</v>
      </c>
      <c r="F100" s="130">
        <f>ROUND(D100*E100,2)</f>
        <v>4955.84</v>
      </c>
      <c r="G100" s="100"/>
    </row>
    <row r="101" spans="1:8" x14ac:dyDescent="0.3">
      <c r="A101" s="102"/>
      <c r="B101" s="102" t="s">
        <v>169</v>
      </c>
      <c r="C101" s="108" t="s">
        <v>168</v>
      </c>
      <c r="D101" s="109">
        <v>8</v>
      </c>
      <c r="E101" s="100">
        <f>+$F$39</f>
        <v>386.38</v>
      </c>
      <c r="F101" s="130">
        <f>ROUND(D101*E101,2)</f>
        <v>3091.04</v>
      </c>
      <c r="G101" s="100"/>
    </row>
    <row r="102" spans="1:8" x14ac:dyDescent="0.3">
      <c r="A102" s="114"/>
      <c r="B102" s="114"/>
      <c r="C102" s="115"/>
      <c r="D102" s="116" t="s">
        <v>170</v>
      </c>
      <c r="E102" s="117"/>
      <c r="F102" s="132"/>
      <c r="G102" s="113">
        <f>SUM(F98:F101)</f>
        <v>67516.959999999992</v>
      </c>
      <c r="H102" s="91"/>
    </row>
    <row r="103" spans="1:8" ht="15" thickBot="1" x14ac:dyDescent="0.35">
      <c r="C103" s="80"/>
      <c r="D103" s="125"/>
      <c r="E103" s="78"/>
      <c r="F103" s="78"/>
      <c r="G103" s="117"/>
    </row>
    <row r="104" spans="1:8" ht="15.6" thickTop="1" thickBot="1" x14ac:dyDescent="0.35">
      <c r="D104" s="125" t="s">
        <v>171</v>
      </c>
      <c r="E104" s="78"/>
      <c r="F104" s="78"/>
      <c r="G104" s="135">
        <f>SUM(G92:G102)</f>
        <v>67677.179999999993</v>
      </c>
      <c r="H104" s="136"/>
    </row>
    <row r="105" spans="1:8" ht="15" thickTop="1" x14ac:dyDescent="0.3">
      <c r="D105" s="125"/>
      <c r="E105" s="78"/>
      <c r="F105" s="78"/>
      <c r="G105" s="137"/>
    </row>
    <row r="106" spans="1:8" ht="15.6" x14ac:dyDescent="0.3">
      <c r="A106" s="79" t="s">
        <v>128</v>
      </c>
      <c r="B106" s="81" t="s">
        <v>179</v>
      </c>
      <c r="C106" s="80"/>
      <c r="D106" s="125"/>
      <c r="E106" s="78"/>
      <c r="F106" s="78"/>
      <c r="G106" s="78"/>
    </row>
    <row r="107" spans="1:8" ht="15.6" x14ac:dyDescent="0.3">
      <c r="A107" s="79" t="s">
        <v>130</v>
      </c>
      <c r="B107" s="81" t="s">
        <v>160</v>
      </c>
      <c r="C107" s="80"/>
      <c r="D107" s="125"/>
      <c r="E107" s="78"/>
      <c r="F107" s="78"/>
      <c r="G107" s="78"/>
    </row>
    <row r="108" spans="1:8" x14ac:dyDescent="0.3">
      <c r="C108" s="80"/>
      <c r="D108" s="125"/>
      <c r="E108" s="78"/>
      <c r="F108" s="78"/>
      <c r="G108" s="78"/>
    </row>
    <row r="109" spans="1:8" ht="15" thickBot="1" x14ac:dyDescent="0.35">
      <c r="A109" s="79" t="s">
        <v>161</v>
      </c>
      <c r="C109" s="80"/>
      <c r="D109" s="125"/>
      <c r="E109" s="78"/>
      <c r="F109" s="78"/>
      <c r="G109" s="78"/>
    </row>
    <row r="110" spans="1:8" ht="15" thickTop="1" x14ac:dyDescent="0.3">
      <c r="A110" s="84" t="s">
        <v>3</v>
      </c>
      <c r="B110" s="85" t="s">
        <v>135</v>
      </c>
      <c r="C110" s="86" t="s">
        <v>5</v>
      </c>
      <c r="D110" s="87" t="s">
        <v>6</v>
      </c>
      <c r="E110" s="88" t="s">
        <v>28</v>
      </c>
      <c r="F110" s="139" t="s">
        <v>28</v>
      </c>
      <c r="G110" s="89"/>
    </row>
    <row r="111" spans="1:8" ht="15" thickBot="1" x14ac:dyDescent="0.35">
      <c r="A111" s="140"/>
      <c r="B111" s="141"/>
      <c r="C111" s="142"/>
      <c r="D111" s="143"/>
      <c r="E111" s="144" t="s">
        <v>11</v>
      </c>
      <c r="F111" s="145" t="s">
        <v>10</v>
      </c>
      <c r="G111" s="89"/>
    </row>
    <row r="112" spans="1:8" ht="15" thickTop="1" x14ac:dyDescent="0.3">
      <c r="A112" s="102"/>
      <c r="B112" s="102" t="s">
        <v>180</v>
      </c>
      <c r="C112" s="108" t="s">
        <v>1</v>
      </c>
      <c r="D112" s="109">
        <v>1</v>
      </c>
      <c r="E112" s="130">
        <v>250</v>
      </c>
      <c r="F112" s="130">
        <f>ROUND(D112*E112,2)</f>
        <v>250</v>
      </c>
      <c r="G112" s="102"/>
    </row>
    <row r="113" spans="1:8" x14ac:dyDescent="0.3">
      <c r="A113" s="102"/>
      <c r="B113" s="102" t="s">
        <v>181</v>
      </c>
      <c r="C113" s="108" t="s">
        <v>1</v>
      </c>
      <c r="D113" s="109">
        <v>1</v>
      </c>
      <c r="E113" s="130">
        <v>200</v>
      </c>
      <c r="F113" s="130">
        <f>ROUND(D113*E113,2)</f>
        <v>200</v>
      </c>
      <c r="G113" s="100"/>
    </row>
    <row r="114" spans="1:8" x14ac:dyDescent="0.3">
      <c r="A114" s="102"/>
      <c r="B114" s="102" t="s">
        <v>182</v>
      </c>
      <c r="C114" s="108" t="s">
        <v>1</v>
      </c>
      <c r="D114" s="109">
        <v>1</v>
      </c>
      <c r="E114" s="130">
        <v>5250</v>
      </c>
      <c r="F114" s="130">
        <f>ROUND(D114*E114,2)</f>
        <v>5250</v>
      </c>
      <c r="G114" s="100"/>
    </row>
    <row r="115" spans="1:8" x14ac:dyDescent="0.3">
      <c r="A115" s="114"/>
      <c r="B115" s="114"/>
      <c r="C115" s="115"/>
      <c r="D115" s="116" t="s">
        <v>165</v>
      </c>
      <c r="E115" s="117"/>
      <c r="F115" s="132"/>
      <c r="G115" s="113">
        <f>SUM(F112:F114)</f>
        <v>5700</v>
      </c>
      <c r="H115" s="91"/>
    </row>
    <row r="116" spans="1:8" x14ac:dyDescent="0.3">
      <c r="C116" s="80"/>
      <c r="D116" s="125"/>
      <c r="E116" s="78"/>
      <c r="F116" s="78"/>
      <c r="G116" s="117"/>
    </row>
    <row r="117" spans="1:8" ht="15" thickBot="1" x14ac:dyDescent="0.35">
      <c r="A117" s="79" t="s">
        <v>166</v>
      </c>
      <c r="C117" s="80"/>
      <c r="D117" s="125"/>
      <c r="E117" s="78"/>
      <c r="F117" s="78"/>
      <c r="G117" s="78"/>
    </row>
    <row r="118" spans="1:8" ht="15" thickTop="1" x14ac:dyDescent="0.3">
      <c r="A118" s="84" t="s">
        <v>3</v>
      </c>
      <c r="B118" s="85" t="s">
        <v>135</v>
      </c>
      <c r="C118" s="86" t="s">
        <v>5</v>
      </c>
      <c r="D118" s="87" t="s">
        <v>6</v>
      </c>
      <c r="E118" s="88" t="s">
        <v>28</v>
      </c>
      <c r="F118" s="88" t="s">
        <v>28</v>
      </c>
      <c r="G118" s="89"/>
    </row>
    <row r="119" spans="1:8" ht="15" thickBot="1" x14ac:dyDescent="0.35">
      <c r="A119" s="90"/>
      <c r="B119" s="91"/>
      <c r="C119" s="92"/>
      <c r="D119" s="93"/>
      <c r="E119" s="94" t="s">
        <v>11</v>
      </c>
      <c r="F119" s="94" t="s">
        <v>10</v>
      </c>
      <c r="G119" s="89"/>
    </row>
    <row r="120" spans="1:8" ht="15" thickTop="1" x14ac:dyDescent="0.3">
      <c r="A120" s="95"/>
      <c r="B120" s="95" t="s">
        <v>177</v>
      </c>
      <c r="C120" s="126" t="s">
        <v>168</v>
      </c>
      <c r="D120" s="127">
        <v>20</v>
      </c>
      <c r="E120" s="134">
        <f>+$F$22*1.2</f>
        <v>1486.752</v>
      </c>
      <c r="F120" s="128">
        <f>ROUND(D120*E120,2)</f>
        <v>29735.040000000001</v>
      </c>
      <c r="G120" s="100"/>
    </row>
    <row r="121" spans="1:8" x14ac:dyDescent="0.3">
      <c r="A121" s="102"/>
      <c r="B121" s="102" t="s">
        <v>178</v>
      </c>
      <c r="C121" s="108" t="s">
        <v>168</v>
      </c>
      <c r="D121" s="109">
        <v>36</v>
      </c>
      <c r="E121" s="138">
        <f>+$F$22*1.2</f>
        <v>1486.752</v>
      </c>
      <c r="F121" s="130">
        <f>ROUND(D121*E121,2)</f>
        <v>53523.07</v>
      </c>
      <c r="G121" s="100"/>
    </row>
    <row r="122" spans="1:8" x14ac:dyDescent="0.3">
      <c r="A122" s="102"/>
      <c r="B122" s="102" t="s">
        <v>167</v>
      </c>
      <c r="C122" s="108" t="s">
        <v>168</v>
      </c>
      <c r="D122" s="109">
        <v>120</v>
      </c>
      <c r="E122" s="138">
        <f>+$F$22</f>
        <v>1238.96</v>
      </c>
      <c r="F122" s="130">
        <f>ROUND(D122*E122,2)</f>
        <v>148675.20000000001</v>
      </c>
      <c r="G122" s="100"/>
    </row>
    <row r="123" spans="1:8" x14ac:dyDescent="0.3">
      <c r="A123" s="102"/>
      <c r="B123" s="102" t="s">
        <v>169</v>
      </c>
      <c r="C123" s="108" t="s">
        <v>168</v>
      </c>
      <c r="D123" s="109">
        <v>240</v>
      </c>
      <c r="E123" s="100">
        <f>+$F$39</f>
        <v>386.38</v>
      </c>
      <c r="F123" s="130">
        <f>ROUND(D123*E123,2)</f>
        <v>92731.199999999997</v>
      </c>
      <c r="G123" s="100"/>
    </row>
    <row r="124" spans="1:8" x14ac:dyDescent="0.3">
      <c r="A124" s="114"/>
      <c r="B124" s="114"/>
      <c r="C124" s="115"/>
      <c r="D124" s="116" t="s">
        <v>170</v>
      </c>
      <c r="E124" s="117"/>
      <c r="F124" s="132"/>
      <c r="G124" s="113">
        <f>SUM(F120:F123)</f>
        <v>324664.51</v>
      </c>
      <c r="H124" s="91"/>
    </row>
    <row r="125" spans="1:8" ht="15" thickBot="1" x14ac:dyDescent="0.35">
      <c r="C125" s="80"/>
      <c r="D125" s="125"/>
      <c r="E125" s="78"/>
      <c r="F125" s="78"/>
      <c r="G125" s="117"/>
    </row>
    <row r="126" spans="1:8" ht="15.6" thickTop="1" thickBot="1" x14ac:dyDescent="0.35">
      <c r="D126" s="125" t="s">
        <v>171</v>
      </c>
      <c r="E126" s="78"/>
      <c r="F126" s="78"/>
      <c r="G126" s="135">
        <f>SUM(G115:G124)</f>
        <v>330364.51</v>
      </c>
      <c r="H126" s="136"/>
    </row>
    <row r="127" spans="1:8" ht="15" thickTop="1" x14ac:dyDescent="0.3">
      <c r="D127" s="125"/>
      <c r="E127" s="78"/>
      <c r="F127" s="78"/>
      <c r="G127" s="137"/>
    </row>
    <row r="128" spans="1:8" ht="15.6" x14ac:dyDescent="0.3">
      <c r="A128" s="79" t="s">
        <v>128</v>
      </c>
      <c r="B128" s="81" t="s">
        <v>183</v>
      </c>
      <c r="C128" s="80"/>
      <c r="D128" s="125"/>
      <c r="E128" s="78"/>
      <c r="F128" s="78"/>
      <c r="G128" s="78"/>
    </row>
    <row r="129" spans="1:8" ht="15.6" x14ac:dyDescent="0.3">
      <c r="A129" s="79" t="s">
        <v>130</v>
      </c>
      <c r="B129" s="81" t="s">
        <v>160</v>
      </c>
      <c r="C129" s="80"/>
      <c r="D129" s="125"/>
      <c r="E129" s="78"/>
      <c r="F129" s="78"/>
      <c r="G129" s="78"/>
    </row>
    <row r="130" spans="1:8" x14ac:dyDescent="0.3">
      <c r="C130" s="80"/>
      <c r="D130" s="125"/>
      <c r="E130" s="78"/>
      <c r="F130" s="78"/>
      <c r="G130" s="78"/>
    </row>
    <row r="131" spans="1:8" ht="15" thickBot="1" x14ac:dyDescent="0.35">
      <c r="A131" s="79" t="s">
        <v>161</v>
      </c>
      <c r="C131" s="80"/>
      <c r="D131" s="125"/>
      <c r="E131" s="78"/>
      <c r="F131" s="78"/>
      <c r="G131" s="78"/>
    </row>
    <row r="132" spans="1:8" ht="15" thickTop="1" x14ac:dyDescent="0.3">
      <c r="A132" s="84" t="s">
        <v>3</v>
      </c>
      <c r="B132" s="85" t="s">
        <v>135</v>
      </c>
      <c r="C132" s="86" t="s">
        <v>5</v>
      </c>
      <c r="D132" s="87" t="s">
        <v>6</v>
      </c>
      <c r="E132" s="88" t="s">
        <v>28</v>
      </c>
      <c r="F132" s="88" t="s">
        <v>28</v>
      </c>
      <c r="G132" s="89"/>
    </row>
    <row r="133" spans="1:8" ht="15" thickBot="1" x14ac:dyDescent="0.35">
      <c r="A133" s="90"/>
      <c r="B133" s="91"/>
      <c r="C133" s="92"/>
      <c r="D133" s="93"/>
      <c r="E133" s="94" t="s">
        <v>11</v>
      </c>
      <c r="F133" s="94" t="s">
        <v>10</v>
      </c>
      <c r="G133" s="89"/>
    </row>
    <row r="134" spans="1:8" ht="15" thickTop="1" x14ac:dyDescent="0.3">
      <c r="A134" s="95"/>
      <c r="B134" s="95" t="str">
        <f>LISTA!C84</f>
        <v>Alfajias de pino 1x3"</v>
      </c>
      <c r="C134" s="126" t="str">
        <f>LISTA!E84</f>
        <v>Ml</v>
      </c>
      <c r="D134" s="127">
        <v>1000</v>
      </c>
      <c r="E134" s="146">
        <f>LISTA!F84</f>
        <v>30</v>
      </c>
      <c r="F134" s="134">
        <f>ROUND(D134*E134,2)</f>
        <v>30000</v>
      </c>
      <c r="G134" s="100"/>
    </row>
    <row r="135" spans="1:8" x14ac:dyDescent="0.3">
      <c r="A135" s="102"/>
      <c r="B135" s="102" t="str">
        <f>LISTA!C25</f>
        <v xml:space="preserve">Clavos </v>
      </c>
      <c r="C135" s="108" t="str">
        <f>LISTA!E25</f>
        <v>Kg</v>
      </c>
      <c r="D135" s="109">
        <v>30</v>
      </c>
      <c r="E135" s="147">
        <f>LISTA!F25</f>
        <v>360</v>
      </c>
      <c r="F135" s="100">
        <f>ROUND(D135*E135,2)</f>
        <v>10800</v>
      </c>
      <c r="G135" s="102"/>
    </row>
    <row r="136" spans="1:8" x14ac:dyDescent="0.3">
      <c r="A136" s="114"/>
      <c r="B136" s="114"/>
      <c r="C136" s="115"/>
      <c r="D136" s="116" t="s">
        <v>165</v>
      </c>
      <c r="E136" s="117"/>
      <c r="F136" s="132"/>
      <c r="G136" s="113">
        <f>SUM(F134:F135)</f>
        <v>40800</v>
      </c>
      <c r="H136" s="91"/>
    </row>
    <row r="137" spans="1:8" x14ac:dyDescent="0.3">
      <c r="C137" s="80"/>
      <c r="D137" s="125"/>
      <c r="E137" s="78"/>
      <c r="F137" s="78"/>
      <c r="G137" s="117"/>
    </row>
    <row r="138" spans="1:8" ht="15" thickBot="1" x14ac:dyDescent="0.35">
      <c r="A138" s="79" t="s">
        <v>166</v>
      </c>
      <c r="C138" s="80"/>
      <c r="D138" s="125"/>
      <c r="E138" s="78"/>
      <c r="F138" s="78"/>
      <c r="G138" s="78"/>
    </row>
    <row r="139" spans="1:8" ht="15" thickTop="1" x14ac:dyDescent="0.3">
      <c r="A139" s="84" t="s">
        <v>3</v>
      </c>
      <c r="B139" s="85" t="s">
        <v>135</v>
      </c>
      <c r="C139" s="86" t="s">
        <v>5</v>
      </c>
      <c r="D139" s="87" t="s">
        <v>6</v>
      </c>
      <c r="E139" s="88" t="s">
        <v>28</v>
      </c>
      <c r="F139" s="88" t="s">
        <v>28</v>
      </c>
      <c r="G139" s="89"/>
    </row>
    <row r="140" spans="1:8" ht="15" thickBot="1" x14ac:dyDescent="0.35">
      <c r="A140" s="90"/>
      <c r="B140" s="91"/>
      <c r="C140" s="92"/>
      <c r="D140" s="93"/>
      <c r="E140" s="94" t="s">
        <v>11</v>
      </c>
      <c r="F140" s="94" t="s">
        <v>10</v>
      </c>
      <c r="G140" s="89"/>
    </row>
    <row r="141" spans="1:8" ht="15" thickTop="1" x14ac:dyDescent="0.3">
      <c r="A141" s="95"/>
      <c r="B141" s="95" t="s">
        <v>167</v>
      </c>
      <c r="C141" s="126" t="s">
        <v>168</v>
      </c>
      <c r="D141" s="127">
        <v>5</v>
      </c>
      <c r="E141" s="134">
        <f>$F$22</f>
        <v>1238.96</v>
      </c>
      <c r="F141" s="134">
        <f>ROUND(D141*E141,2)</f>
        <v>6194.8</v>
      </c>
      <c r="G141" s="100"/>
    </row>
    <row r="142" spans="1:8" x14ac:dyDescent="0.3">
      <c r="A142" s="102"/>
      <c r="B142" s="102" t="s">
        <v>169</v>
      </c>
      <c r="C142" s="108" t="s">
        <v>168</v>
      </c>
      <c r="D142" s="109">
        <v>10</v>
      </c>
      <c r="E142" s="100">
        <f>$F$39</f>
        <v>386.38</v>
      </c>
      <c r="F142" s="100">
        <f>ROUND(D142*E142,2)</f>
        <v>3863.8</v>
      </c>
      <c r="G142" s="100"/>
    </row>
    <row r="143" spans="1:8" x14ac:dyDescent="0.3">
      <c r="A143" s="114"/>
      <c r="B143" s="114"/>
      <c r="C143" s="115"/>
      <c r="D143" s="116" t="s">
        <v>170</v>
      </c>
      <c r="E143" s="117"/>
      <c r="F143" s="132"/>
      <c r="G143" s="113">
        <f>SUM(F141:F142)</f>
        <v>10058.6</v>
      </c>
      <c r="H143" s="91"/>
    </row>
    <row r="144" spans="1:8" ht="15" thickBot="1" x14ac:dyDescent="0.35">
      <c r="C144" s="80"/>
      <c r="D144" s="125"/>
      <c r="E144" s="78"/>
      <c r="F144" s="78"/>
      <c r="G144" s="117"/>
    </row>
    <row r="145" spans="1:8" ht="15.6" thickTop="1" thickBot="1" x14ac:dyDescent="0.35">
      <c r="C145" s="80"/>
      <c r="D145" s="125" t="s">
        <v>171</v>
      </c>
      <c r="E145" s="78"/>
      <c r="F145" s="78"/>
      <c r="G145" s="135">
        <f>SUM(G136:G143)</f>
        <v>50858.6</v>
      </c>
      <c r="H145" s="136"/>
    </row>
    <row r="146" spans="1:8" ht="15" thickTop="1" x14ac:dyDescent="0.3">
      <c r="C146" s="80"/>
      <c r="D146" s="125"/>
      <c r="E146" s="78"/>
      <c r="F146" s="78"/>
      <c r="G146" s="137"/>
    </row>
    <row r="147" spans="1:8" ht="15.6" x14ac:dyDescent="0.3">
      <c r="A147" s="79" t="s">
        <v>128</v>
      </c>
      <c r="B147" s="81" t="s">
        <v>184</v>
      </c>
      <c r="C147" s="80"/>
      <c r="D147" s="125"/>
      <c r="E147" s="78"/>
      <c r="F147" s="78"/>
      <c r="G147" s="78"/>
    </row>
    <row r="148" spans="1:8" ht="15.6" x14ac:dyDescent="0.3">
      <c r="A148" s="79" t="s">
        <v>130</v>
      </c>
      <c r="B148" s="81" t="s">
        <v>185</v>
      </c>
      <c r="C148" s="80"/>
      <c r="D148" s="125"/>
      <c r="E148" s="78"/>
      <c r="F148" s="78"/>
      <c r="G148" s="78"/>
    </row>
    <row r="149" spans="1:8" x14ac:dyDescent="0.3">
      <c r="C149" s="80"/>
      <c r="D149" s="125"/>
      <c r="E149" s="78"/>
      <c r="F149" s="78"/>
      <c r="G149" s="78"/>
    </row>
    <row r="150" spans="1:8" ht="15" thickBot="1" x14ac:dyDescent="0.35">
      <c r="A150" s="79" t="s">
        <v>161</v>
      </c>
      <c r="C150" s="80"/>
      <c r="D150" s="125"/>
      <c r="E150" s="78"/>
      <c r="F150" s="78"/>
      <c r="G150" s="78"/>
    </row>
    <row r="151" spans="1:8" ht="15" thickTop="1" x14ac:dyDescent="0.3">
      <c r="A151" s="84" t="s">
        <v>3</v>
      </c>
      <c r="B151" s="85" t="s">
        <v>135</v>
      </c>
      <c r="C151" s="86" t="s">
        <v>5</v>
      </c>
      <c r="D151" s="87" t="s">
        <v>6</v>
      </c>
      <c r="E151" s="88" t="s">
        <v>28</v>
      </c>
      <c r="F151" s="88" t="s">
        <v>28</v>
      </c>
      <c r="G151" s="89"/>
    </row>
    <row r="152" spans="1:8" ht="15" thickBot="1" x14ac:dyDescent="0.35">
      <c r="A152" s="90"/>
      <c r="B152" s="91"/>
      <c r="C152" s="92"/>
      <c r="D152" s="93"/>
      <c r="E152" s="94" t="s">
        <v>11</v>
      </c>
      <c r="F152" s="94" t="s">
        <v>10</v>
      </c>
      <c r="G152" s="89"/>
    </row>
    <row r="153" spans="1:8" ht="15" thickTop="1" x14ac:dyDescent="0.3">
      <c r="A153" s="95"/>
      <c r="B153" s="95" t="s">
        <v>186</v>
      </c>
      <c r="C153" s="126" t="s">
        <v>35</v>
      </c>
      <c r="D153" s="127">
        <v>1.5</v>
      </c>
      <c r="E153" s="134">
        <v>5</v>
      </c>
      <c r="F153" s="134">
        <f>ROUND(D153*E153,2)</f>
        <v>7.5</v>
      </c>
      <c r="G153" s="100"/>
    </row>
    <row r="154" spans="1:8" x14ac:dyDescent="0.3">
      <c r="A154" s="102"/>
      <c r="B154" s="102"/>
      <c r="C154" s="108"/>
      <c r="D154" s="109"/>
      <c r="E154" s="130"/>
      <c r="F154" s="100"/>
      <c r="G154" s="100"/>
    </row>
    <row r="155" spans="1:8" x14ac:dyDescent="0.3">
      <c r="A155" s="114"/>
      <c r="B155" s="114"/>
      <c r="C155" s="115"/>
      <c r="D155" s="116" t="s">
        <v>165</v>
      </c>
      <c r="E155" s="117"/>
      <c r="F155" s="132"/>
      <c r="G155" s="113">
        <f>SUM(F153:F154)</f>
        <v>7.5</v>
      </c>
      <c r="H155" s="91"/>
    </row>
    <row r="156" spans="1:8" x14ac:dyDescent="0.3">
      <c r="C156" s="80"/>
      <c r="D156" s="125"/>
      <c r="E156" s="78"/>
      <c r="F156" s="78"/>
      <c r="G156" s="117"/>
    </row>
    <row r="157" spans="1:8" ht="15" thickBot="1" x14ac:dyDescent="0.35">
      <c r="A157" s="79" t="s">
        <v>187</v>
      </c>
      <c r="C157" s="80"/>
      <c r="D157" s="125"/>
      <c r="E157" s="78"/>
      <c r="F157" s="78"/>
      <c r="G157" s="78"/>
    </row>
    <row r="158" spans="1:8" ht="15" thickTop="1" x14ac:dyDescent="0.3">
      <c r="A158" s="84" t="s">
        <v>3</v>
      </c>
      <c r="B158" s="85" t="s">
        <v>135</v>
      </c>
      <c r="C158" s="86" t="s">
        <v>5</v>
      </c>
      <c r="D158" s="87" t="s">
        <v>6</v>
      </c>
      <c r="E158" s="88" t="s">
        <v>28</v>
      </c>
      <c r="F158" s="88" t="s">
        <v>28</v>
      </c>
      <c r="G158" s="89"/>
    </row>
    <row r="159" spans="1:8" ht="15" thickBot="1" x14ac:dyDescent="0.35">
      <c r="A159" s="90"/>
      <c r="B159" s="91"/>
      <c r="C159" s="92"/>
      <c r="D159" s="93"/>
      <c r="E159" s="94" t="s">
        <v>11</v>
      </c>
      <c r="F159" s="94" t="s">
        <v>10</v>
      </c>
      <c r="G159" s="89"/>
    </row>
    <row r="160" spans="1:8" ht="15" thickTop="1" x14ac:dyDescent="0.3">
      <c r="A160" s="95"/>
      <c r="B160" s="95" t="s">
        <v>188</v>
      </c>
      <c r="C160" s="126" t="s">
        <v>168</v>
      </c>
      <c r="D160" s="127">
        <v>0.1</v>
      </c>
      <c r="E160" s="134">
        <v>20</v>
      </c>
      <c r="F160" s="134">
        <f>ROUND(D160*E160,2)</f>
        <v>2</v>
      </c>
      <c r="G160" s="100"/>
    </row>
    <row r="161" spans="1:13" x14ac:dyDescent="0.3">
      <c r="A161" s="102"/>
      <c r="B161" s="102" t="s">
        <v>189</v>
      </c>
      <c r="C161" s="108" t="s">
        <v>168</v>
      </c>
      <c r="D161" s="109">
        <v>0.1</v>
      </c>
      <c r="E161" s="100">
        <v>20</v>
      </c>
      <c r="F161" s="100">
        <f>ROUND(D161*E161,2)</f>
        <v>2</v>
      </c>
      <c r="G161" s="100"/>
    </row>
    <row r="162" spans="1:13" x14ac:dyDescent="0.3">
      <c r="A162" s="114"/>
      <c r="B162" s="114"/>
      <c r="C162" s="115"/>
      <c r="D162" s="116" t="s">
        <v>170</v>
      </c>
      <c r="E162" s="117"/>
      <c r="F162" s="132"/>
      <c r="G162" s="113">
        <f>SUM(F160:F161)</f>
        <v>4</v>
      </c>
      <c r="H162" s="91"/>
    </row>
    <row r="163" spans="1:13" ht="15" thickBot="1" x14ac:dyDescent="0.35">
      <c r="C163" s="80"/>
      <c r="D163" s="125"/>
      <c r="E163" s="78"/>
      <c r="F163" s="78"/>
      <c r="G163" s="117"/>
    </row>
    <row r="164" spans="1:13" ht="15.6" thickTop="1" thickBot="1" x14ac:dyDescent="0.35">
      <c r="C164" s="80"/>
      <c r="D164" s="125" t="s">
        <v>171</v>
      </c>
      <c r="E164" s="78"/>
      <c r="F164" s="78"/>
      <c r="G164" s="135">
        <f>SUM(G155:G162)</f>
        <v>11.5</v>
      </c>
      <c r="H164" s="136"/>
    </row>
    <row r="165" spans="1:13" ht="15" thickTop="1" x14ac:dyDescent="0.3">
      <c r="C165" s="80"/>
      <c r="D165" s="125"/>
      <c r="E165" s="78"/>
      <c r="F165" s="78"/>
      <c r="G165" s="137"/>
    </row>
    <row r="166" spans="1:13" ht="15.6" x14ac:dyDescent="0.3">
      <c r="A166" s="79" t="s">
        <v>128</v>
      </c>
      <c r="B166" s="81" t="s">
        <v>190</v>
      </c>
      <c r="C166" s="80"/>
      <c r="D166" s="125"/>
      <c r="E166" s="78"/>
      <c r="F166" s="78"/>
      <c r="G166" s="78"/>
    </row>
    <row r="167" spans="1:13" ht="15.6" x14ac:dyDescent="0.3">
      <c r="A167" s="79" t="s">
        <v>130</v>
      </c>
      <c r="B167" s="81" t="s">
        <v>185</v>
      </c>
      <c r="C167" s="80"/>
      <c r="D167" s="125"/>
      <c r="E167" s="78"/>
      <c r="F167" s="78"/>
      <c r="G167" s="78"/>
    </row>
    <row r="168" spans="1:13" x14ac:dyDescent="0.3">
      <c r="C168" s="80"/>
      <c r="D168" s="125"/>
      <c r="E168" s="78"/>
      <c r="F168" s="78"/>
      <c r="G168" s="78"/>
    </row>
    <row r="169" spans="1:13" ht="15" thickBot="1" x14ac:dyDescent="0.35">
      <c r="A169" s="79" t="s">
        <v>161</v>
      </c>
      <c r="C169" s="80"/>
      <c r="D169" s="125"/>
      <c r="E169" s="78"/>
      <c r="F169" s="78"/>
      <c r="G169" s="78"/>
    </row>
    <row r="170" spans="1:13" ht="15" thickTop="1" x14ac:dyDescent="0.3">
      <c r="A170" s="84" t="s">
        <v>3</v>
      </c>
      <c r="B170" s="85" t="s">
        <v>135</v>
      </c>
      <c r="C170" s="86" t="s">
        <v>5</v>
      </c>
      <c r="D170" s="87" t="s">
        <v>6</v>
      </c>
      <c r="E170" s="88" t="s">
        <v>28</v>
      </c>
      <c r="F170" s="88" t="s">
        <v>28</v>
      </c>
      <c r="G170" s="89"/>
    </row>
    <row r="171" spans="1:13" ht="15" thickBot="1" x14ac:dyDescent="0.35">
      <c r="A171" s="90"/>
      <c r="B171" s="91"/>
      <c r="C171" s="92"/>
      <c r="D171" s="93"/>
      <c r="E171" s="94" t="s">
        <v>11</v>
      </c>
      <c r="F171" s="94" t="s">
        <v>10</v>
      </c>
      <c r="G171" s="89"/>
    </row>
    <row r="172" spans="1:13" ht="15" thickTop="1" x14ac:dyDescent="0.3">
      <c r="A172" s="95"/>
      <c r="B172" s="95"/>
      <c r="C172" s="126"/>
      <c r="D172" s="127"/>
      <c r="E172" s="134"/>
      <c r="F172" s="134"/>
      <c r="G172" s="100"/>
    </row>
    <row r="173" spans="1:13" x14ac:dyDescent="0.3">
      <c r="A173" s="102"/>
      <c r="B173" s="102"/>
      <c r="C173" s="108"/>
      <c r="D173" s="109"/>
      <c r="E173" s="130"/>
      <c r="F173" s="100"/>
      <c r="G173" s="100"/>
    </row>
    <row r="174" spans="1:13" x14ac:dyDescent="0.3">
      <c r="A174" s="114"/>
      <c r="B174" s="114"/>
      <c r="C174" s="115"/>
      <c r="D174" s="116" t="s">
        <v>165</v>
      </c>
      <c r="E174" s="117"/>
      <c r="F174" s="132"/>
      <c r="G174" s="113">
        <f>SUM(F172:F173)</f>
        <v>0</v>
      </c>
      <c r="H174" s="91"/>
    </row>
    <row r="175" spans="1:13" x14ac:dyDescent="0.3">
      <c r="C175" s="80"/>
      <c r="D175" s="125"/>
      <c r="E175" s="78"/>
      <c r="F175" s="78"/>
      <c r="G175" s="117"/>
    </row>
    <row r="176" spans="1:13" ht="15" thickBot="1" x14ac:dyDescent="0.35">
      <c r="A176" s="79" t="s">
        <v>187</v>
      </c>
      <c r="C176" s="80"/>
      <c r="D176" s="125"/>
      <c r="E176" s="78"/>
      <c r="F176" s="78"/>
      <c r="G176" s="78"/>
      <c r="J176" s="56" t="s">
        <v>150</v>
      </c>
      <c r="K176" s="76">
        <f>+K155</f>
        <v>0</v>
      </c>
      <c r="L176" s="77">
        <f>+$K176*$L$37</f>
        <v>0</v>
      </c>
      <c r="M176" s="77">
        <f>+$K176*$M$37</f>
        <v>0</v>
      </c>
    </row>
    <row r="177" spans="1:14" ht="15" thickTop="1" x14ac:dyDescent="0.3">
      <c r="A177" s="84" t="s">
        <v>3</v>
      </c>
      <c r="B177" s="85" t="s">
        <v>135</v>
      </c>
      <c r="C177" s="86" t="s">
        <v>5</v>
      </c>
      <c r="D177" s="87" t="s">
        <v>6</v>
      </c>
      <c r="E177" s="88" t="s">
        <v>28</v>
      </c>
      <c r="F177" s="88" t="s">
        <v>28</v>
      </c>
      <c r="G177" s="89"/>
      <c r="J177" s="56" t="s">
        <v>151</v>
      </c>
      <c r="K177" s="76">
        <f>+K156</f>
        <v>0</v>
      </c>
      <c r="L177" s="77">
        <f>+$K177*$L$37</f>
        <v>0</v>
      </c>
      <c r="M177" s="77">
        <f>+$K177*$M$37</f>
        <v>0</v>
      </c>
    </row>
    <row r="178" spans="1:14" ht="15" thickBot="1" x14ac:dyDescent="0.35">
      <c r="A178" s="90"/>
      <c r="B178" s="91"/>
      <c r="C178" s="92"/>
      <c r="D178" s="93"/>
      <c r="E178" s="94" t="s">
        <v>11</v>
      </c>
      <c r="F178" s="94" t="s">
        <v>10</v>
      </c>
      <c r="G178" s="89"/>
      <c r="J178" s="56" t="s">
        <v>152</v>
      </c>
      <c r="K178" s="76">
        <f>+K157</f>
        <v>0</v>
      </c>
      <c r="L178" s="77">
        <f>+$K178*$L$37</f>
        <v>0</v>
      </c>
      <c r="M178" s="77">
        <f>+$K178*$M$37</f>
        <v>0</v>
      </c>
    </row>
    <row r="179" spans="1:14" ht="15" thickTop="1" x14ac:dyDescent="0.3">
      <c r="A179" s="95"/>
      <c r="B179" s="95" t="s">
        <v>162</v>
      </c>
      <c r="C179" s="126" t="s">
        <v>163</v>
      </c>
      <c r="D179" s="127">
        <v>0.1</v>
      </c>
      <c r="E179" s="128">
        <v>40</v>
      </c>
      <c r="F179" s="129">
        <f>ROUND(D179*E179,2)</f>
        <v>4</v>
      </c>
      <c r="G179" s="100"/>
      <c r="J179" s="56" t="s">
        <v>153</v>
      </c>
      <c r="K179" s="76">
        <f>+K158</f>
        <v>0</v>
      </c>
      <c r="L179" s="77">
        <f>+$K179*$L$37</f>
        <v>0</v>
      </c>
      <c r="M179" s="77">
        <f>+$K179*$M$37</f>
        <v>0</v>
      </c>
    </row>
    <row r="180" spans="1:14" x14ac:dyDescent="0.3">
      <c r="A180" s="102"/>
      <c r="B180" s="102" t="s">
        <v>164</v>
      </c>
      <c r="C180" s="108" t="s">
        <v>163</v>
      </c>
      <c r="D180" s="109">
        <v>0.1</v>
      </c>
      <c r="E180" s="130">
        <v>80</v>
      </c>
      <c r="F180" s="131">
        <f>ROUND(D180*E180,2)</f>
        <v>8</v>
      </c>
      <c r="G180" s="100"/>
      <c r="J180" s="56" t="s">
        <v>154</v>
      </c>
      <c r="K180" s="76">
        <f>+K159</f>
        <v>0</v>
      </c>
      <c r="L180" s="77">
        <f>+$K180*$L$37</f>
        <v>0</v>
      </c>
      <c r="M180" s="77">
        <f>+$K180*$M$37</f>
        <v>0</v>
      </c>
    </row>
    <row r="181" spans="1:14" ht="13.2" x14ac:dyDescent="0.25">
      <c r="A181" s="102"/>
      <c r="B181" s="102"/>
      <c r="C181" s="108"/>
      <c r="D181" s="109"/>
      <c r="E181" s="130"/>
      <c r="F181" s="130"/>
      <c r="G181" s="100"/>
      <c r="J181" s="119" t="s">
        <v>156</v>
      </c>
      <c r="K181" s="120"/>
      <c r="L181" s="121">
        <f>SUM(L169:L180)</f>
        <v>0</v>
      </c>
      <c r="M181" s="121">
        <f>SUM(M169:M180)</f>
        <v>0</v>
      </c>
    </row>
    <row r="182" spans="1:14" ht="15" thickBot="1" x14ac:dyDescent="0.35">
      <c r="A182" s="114"/>
      <c r="B182" s="114"/>
      <c r="C182" s="115"/>
      <c r="D182" s="116" t="s">
        <v>165</v>
      </c>
      <c r="E182" s="117"/>
      <c r="F182" s="132"/>
      <c r="G182" s="113">
        <f>SUM(F179:F181)</f>
        <v>12</v>
      </c>
      <c r="H182" s="91"/>
      <c r="J182" s="61" t="s">
        <v>157</v>
      </c>
      <c r="L182" s="122" t="e">
        <f>+L181/L169</f>
        <v>#DIV/0!</v>
      </c>
      <c r="M182" s="77">
        <f>150/176</f>
        <v>0.85227272727272729</v>
      </c>
      <c r="N182" s="133" t="e">
        <f>+M181/M167</f>
        <v>#DIV/0!</v>
      </c>
    </row>
    <row r="183" spans="1:14" ht="15" thickBot="1" x14ac:dyDescent="0.35">
      <c r="C183" s="80"/>
      <c r="D183" s="125"/>
      <c r="E183" s="78"/>
      <c r="F183" s="78"/>
      <c r="G183" s="117"/>
      <c r="M183" s="123">
        <f>+M181+M182</f>
        <v>0.85227272727272729</v>
      </c>
      <c r="N183" s="124">
        <f>+L181/M183</f>
        <v>0</v>
      </c>
    </row>
    <row r="184" spans="1:14" ht="15.6" thickTop="1" thickBot="1" x14ac:dyDescent="0.35">
      <c r="C184" s="80"/>
      <c r="D184" s="125" t="s">
        <v>171</v>
      </c>
      <c r="E184" s="78"/>
      <c r="F184" s="78"/>
      <c r="G184" s="135">
        <f>SUM(G174:G183)</f>
        <v>12</v>
      </c>
      <c r="H184" s="136"/>
    </row>
    <row r="185" spans="1:14" ht="15" thickTop="1" x14ac:dyDescent="0.3">
      <c r="C185" s="80"/>
      <c r="D185" s="125"/>
      <c r="E185" s="78"/>
      <c r="F185" s="78"/>
      <c r="G185" s="137"/>
    </row>
    <row r="186" spans="1:14" ht="15.6" x14ac:dyDescent="0.3">
      <c r="A186" s="79" t="s">
        <v>128</v>
      </c>
      <c r="B186" s="81" t="s">
        <v>191</v>
      </c>
      <c r="C186" s="80"/>
      <c r="D186" s="125"/>
      <c r="E186" s="78"/>
      <c r="F186" s="78"/>
      <c r="G186" s="78"/>
    </row>
    <row r="187" spans="1:14" ht="15.6" x14ac:dyDescent="0.3">
      <c r="A187" s="79" t="s">
        <v>130</v>
      </c>
      <c r="B187" s="81" t="s">
        <v>185</v>
      </c>
      <c r="C187" s="80"/>
      <c r="D187" s="125"/>
      <c r="E187" s="78"/>
      <c r="F187" s="78"/>
      <c r="G187" s="78"/>
    </row>
    <row r="188" spans="1:14" x14ac:dyDescent="0.3">
      <c r="C188" s="80"/>
      <c r="D188" s="125"/>
      <c r="E188" s="78"/>
      <c r="F188" s="78"/>
      <c r="G188" s="78"/>
    </row>
    <row r="189" spans="1:14" ht="15" thickBot="1" x14ac:dyDescent="0.35">
      <c r="A189" s="79" t="s">
        <v>161</v>
      </c>
      <c r="C189" s="80"/>
      <c r="D189" s="125"/>
      <c r="E189" s="78"/>
      <c r="F189" s="78"/>
      <c r="G189" s="78"/>
    </row>
    <row r="190" spans="1:14" ht="15" thickTop="1" x14ac:dyDescent="0.3">
      <c r="A190" s="84" t="s">
        <v>3</v>
      </c>
      <c r="B190" s="85" t="s">
        <v>135</v>
      </c>
      <c r="C190" s="86" t="s">
        <v>5</v>
      </c>
      <c r="D190" s="87" t="s">
        <v>6</v>
      </c>
      <c r="E190" s="88" t="s">
        <v>28</v>
      </c>
      <c r="F190" s="88" t="s">
        <v>28</v>
      </c>
      <c r="G190" s="89"/>
    </row>
    <row r="191" spans="1:14" ht="15" thickBot="1" x14ac:dyDescent="0.35">
      <c r="A191" s="90"/>
      <c r="B191" s="91"/>
      <c r="C191" s="92"/>
      <c r="D191" s="93"/>
      <c r="E191" s="94" t="s">
        <v>11</v>
      </c>
      <c r="F191" s="94" t="s">
        <v>10</v>
      </c>
      <c r="G191" s="89"/>
    </row>
    <row r="192" spans="1:14" ht="15" thickTop="1" x14ac:dyDescent="0.3">
      <c r="A192" s="95"/>
      <c r="B192" s="95"/>
      <c r="C192" s="126"/>
      <c r="D192" s="127"/>
      <c r="E192" s="134"/>
      <c r="F192" s="134"/>
      <c r="G192" s="100"/>
    </row>
    <row r="193" spans="1:8" x14ac:dyDescent="0.3">
      <c r="A193" s="102"/>
      <c r="B193" s="102"/>
      <c r="C193" s="108"/>
      <c r="D193" s="109"/>
      <c r="E193" s="100"/>
      <c r="F193" s="100"/>
      <c r="G193" s="100"/>
    </row>
    <row r="194" spans="1:8" x14ac:dyDescent="0.3">
      <c r="A194" s="114"/>
      <c r="B194" s="114"/>
      <c r="C194" s="115"/>
      <c r="D194" s="116" t="s">
        <v>165</v>
      </c>
      <c r="E194" s="117"/>
      <c r="F194" s="132"/>
      <c r="G194" s="113">
        <f>SUM(F192:F193)</f>
        <v>0</v>
      </c>
      <c r="H194" s="91"/>
    </row>
    <row r="195" spans="1:8" x14ac:dyDescent="0.3">
      <c r="C195" s="80"/>
      <c r="D195" s="125"/>
      <c r="E195" s="78"/>
      <c r="F195" s="78"/>
      <c r="G195" s="117"/>
    </row>
    <row r="196" spans="1:8" ht="15" thickBot="1" x14ac:dyDescent="0.35">
      <c r="A196" s="79" t="s">
        <v>166</v>
      </c>
      <c r="C196" s="80"/>
      <c r="D196" s="125"/>
      <c r="E196" s="78"/>
      <c r="F196" s="78"/>
      <c r="G196" s="78"/>
    </row>
    <row r="197" spans="1:8" ht="15" thickTop="1" x14ac:dyDescent="0.3">
      <c r="A197" s="84" t="s">
        <v>3</v>
      </c>
      <c r="B197" s="85" t="s">
        <v>135</v>
      </c>
      <c r="C197" s="86" t="s">
        <v>5</v>
      </c>
      <c r="D197" s="87" t="s">
        <v>6</v>
      </c>
      <c r="E197" s="88" t="s">
        <v>28</v>
      </c>
      <c r="F197" s="88" t="s">
        <v>28</v>
      </c>
      <c r="G197" s="89"/>
    </row>
    <row r="198" spans="1:8" ht="15" thickBot="1" x14ac:dyDescent="0.35">
      <c r="A198" s="90"/>
      <c r="B198" s="91"/>
      <c r="C198" s="92"/>
      <c r="D198" s="93"/>
      <c r="E198" s="94" t="s">
        <v>11</v>
      </c>
      <c r="F198" s="94" t="s">
        <v>10</v>
      </c>
      <c r="G198" s="89"/>
    </row>
    <row r="199" spans="1:8" ht="15" thickTop="1" x14ac:dyDescent="0.3">
      <c r="A199" s="95"/>
      <c r="B199" s="95" t="s">
        <v>167</v>
      </c>
      <c r="C199" s="126" t="s">
        <v>168</v>
      </c>
      <c r="D199" s="127">
        <v>0</v>
      </c>
      <c r="E199" s="278">
        <f>$F$22</f>
        <v>1238.96</v>
      </c>
      <c r="F199" s="134">
        <f>ROUND(D199*E199,2)</f>
        <v>0</v>
      </c>
      <c r="G199" s="100"/>
    </row>
    <row r="200" spans="1:8" x14ac:dyDescent="0.3">
      <c r="A200" s="102"/>
      <c r="B200" s="102" t="s">
        <v>169</v>
      </c>
      <c r="C200" s="108" t="s">
        <v>168</v>
      </c>
      <c r="D200" s="109">
        <v>4</v>
      </c>
      <c r="E200" s="100">
        <f>$F$39</f>
        <v>386.38</v>
      </c>
      <c r="F200" s="100">
        <f>ROUND(D200*E200,2)</f>
        <v>1545.52</v>
      </c>
      <c r="G200" s="100"/>
    </row>
    <row r="201" spans="1:8" x14ac:dyDescent="0.3">
      <c r="A201" s="114"/>
      <c r="B201" s="114"/>
      <c r="C201" s="115"/>
      <c r="D201" s="116" t="s">
        <v>170</v>
      </c>
      <c r="E201" s="117"/>
      <c r="F201" s="132"/>
      <c r="G201" s="113">
        <f>SUM(F199:F200)</f>
        <v>1545.52</v>
      </c>
      <c r="H201" s="91"/>
    </row>
    <row r="202" spans="1:8" ht="15" thickBot="1" x14ac:dyDescent="0.35">
      <c r="C202" s="80"/>
      <c r="D202" s="125"/>
      <c r="E202" s="78"/>
      <c r="F202" s="78"/>
      <c r="G202" s="117"/>
    </row>
    <row r="203" spans="1:8" ht="15.6" thickTop="1" thickBot="1" x14ac:dyDescent="0.35">
      <c r="C203" s="80"/>
      <c r="D203" s="125" t="s">
        <v>171</v>
      </c>
      <c r="E203" s="78"/>
      <c r="F203" s="78"/>
      <c r="G203" s="135">
        <f>SUM(G194:G201)</f>
        <v>1545.52</v>
      </c>
      <c r="H203" s="136"/>
    </row>
    <row r="204" spans="1:8" ht="15" thickTop="1" x14ac:dyDescent="0.3">
      <c r="C204" s="80"/>
      <c r="D204" s="125"/>
      <c r="E204" s="78"/>
      <c r="F204" s="78"/>
      <c r="G204" s="137"/>
    </row>
    <row r="205" spans="1:8" ht="15.6" x14ac:dyDescent="0.3">
      <c r="A205" s="79" t="s">
        <v>128</v>
      </c>
      <c r="B205" s="81" t="s">
        <v>192</v>
      </c>
      <c r="C205" s="80"/>
      <c r="D205" s="125"/>
      <c r="E205" s="78"/>
      <c r="F205" s="78"/>
      <c r="G205" s="78"/>
    </row>
    <row r="206" spans="1:8" ht="15.6" x14ac:dyDescent="0.3">
      <c r="A206" s="79" t="s">
        <v>130</v>
      </c>
      <c r="B206" s="81" t="s">
        <v>185</v>
      </c>
      <c r="C206" s="80"/>
      <c r="D206" s="125"/>
      <c r="E206" s="78"/>
      <c r="F206" s="78"/>
      <c r="G206" s="78"/>
    </row>
    <row r="207" spans="1:8" x14ac:dyDescent="0.3">
      <c r="C207" s="80"/>
      <c r="D207" s="125"/>
      <c r="E207" s="78"/>
      <c r="F207" s="78"/>
      <c r="G207" s="78"/>
    </row>
    <row r="208" spans="1:8" ht="15" thickBot="1" x14ac:dyDescent="0.35">
      <c r="A208" s="79" t="s">
        <v>161</v>
      </c>
      <c r="C208" s="80"/>
      <c r="D208" s="125"/>
      <c r="E208" s="78"/>
      <c r="F208" s="78"/>
      <c r="G208" s="78"/>
    </row>
    <row r="209" spans="1:8" ht="15" thickTop="1" x14ac:dyDescent="0.3">
      <c r="A209" s="84" t="s">
        <v>3</v>
      </c>
      <c r="B209" s="85" t="s">
        <v>135</v>
      </c>
      <c r="C209" s="86" t="s">
        <v>5</v>
      </c>
      <c r="D209" s="87" t="s">
        <v>6</v>
      </c>
      <c r="E209" s="88" t="s">
        <v>28</v>
      </c>
      <c r="F209" s="88" t="s">
        <v>28</v>
      </c>
      <c r="G209" s="89"/>
    </row>
    <row r="210" spans="1:8" ht="15" thickBot="1" x14ac:dyDescent="0.35">
      <c r="A210" s="90"/>
      <c r="B210" s="91"/>
      <c r="C210" s="92"/>
      <c r="D210" s="93"/>
      <c r="E210" s="94" t="s">
        <v>11</v>
      </c>
      <c r="F210" s="94" t="s">
        <v>10</v>
      </c>
      <c r="G210" s="89"/>
    </row>
    <row r="211" spans="1:8" ht="15" thickTop="1" x14ac:dyDescent="0.3">
      <c r="A211" s="95"/>
      <c r="B211" s="95"/>
      <c r="C211" s="126"/>
      <c r="D211" s="127"/>
      <c r="E211" s="134"/>
      <c r="F211" s="134"/>
      <c r="G211" s="100"/>
    </row>
    <row r="212" spans="1:8" x14ac:dyDescent="0.3">
      <c r="A212" s="102"/>
      <c r="B212" s="102"/>
      <c r="C212" s="108"/>
      <c r="D212" s="109"/>
      <c r="E212" s="100"/>
      <c r="F212" s="100"/>
      <c r="G212" s="100"/>
    </row>
    <row r="213" spans="1:8" x14ac:dyDescent="0.3">
      <c r="A213" s="114"/>
      <c r="B213" s="114"/>
      <c r="C213" s="115"/>
      <c r="D213" s="116" t="s">
        <v>165</v>
      </c>
      <c r="E213" s="117"/>
      <c r="F213" s="132"/>
      <c r="G213" s="113">
        <f>SUM(F211:F212)</f>
        <v>0</v>
      </c>
      <c r="H213" s="91"/>
    </row>
    <row r="214" spans="1:8" x14ac:dyDescent="0.3">
      <c r="C214" s="80"/>
      <c r="D214" s="125"/>
      <c r="E214" s="78"/>
      <c r="F214" s="78"/>
      <c r="G214" s="117"/>
    </row>
    <row r="215" spans="1:8" ht="15" thickBot="1" x14ac:dyDescent="0.35">
      <c r="A215" s="79" t="s">
        <v>166</v>
      </c>
      <c r="C215" s="80"/>
      <c r="D215" s="125"/>
      <c r="E215" s="78"/>
      <c r="F215" s="78"/>
      <c r="G215" s="78"/>
    </row>
    <row r="216" spans="1:8" ht="15" thickTop="1" x14ac:dyDescent="0.3">
      <c r="A216" s="84" t="s">
        <v>3</v>
      </c>
      <c r="B216" s="85" t="s">
        <v>135</v>
      </c>
      <c r="C216" s="86" t="s">
        <v>5</v>
      </c>
      <c r="D216" s="87" t="s">
        <v>6</v>
      </c>
      <c r="E216" s="88" t="s">
        <v>28</v>
      </c>
      <c r="F216" s="88" t="s">
        <v>28</v>
      </c>
      <c r="G216" s="89"/>
    </row>
    <row r="217" spans="1:8" ht="15" thickBot="1" x14ac:dyDescent="0.35">
      <c r="A217" s="90"/>
      <c r="B217" s="91"/>
      <c r="C217" s="92"/>
      <c r="D217" s="93"/>
      <c r="E217" s="94" t="s">
        <v>11</v>
      </c>
      <c r="F217" s="94" t="s">
        <v>10</v>
      </c>
      <c r="G217" s="89"/>
    </row>
    <row r="218" spans="1:8" ht="15" thickTop="1" x14ac:dyDescent="0.3">
      <c r="A218" s="95"/>
      <c r="B218" s="95" t="s">
        <v>167</v>
      </c>
      <c r="C218" s="126" t="s">
        <v>168</v>
      </c>
      <c r="D218" s="127">
        <v>0</v>
      </c>
      <c r="E218" s="134">
        <f>$F$22</f>
        <v>1238.96</v>
      </c>
      <c r="F218" s="134">
        <f>ROUND(D218*E218,2)</f>
        <v>0</v>
      </c>
      <c r="G218" s="100"/>
    </row>
    <row r="219" spans="1:8" x14ac:dyDescent="0.3">
      <c r="A219" s="102"/>
      <c r="B219" s="102" t="s">
        <v>169</v>
      </c>
      <c r="C219" s="108" t="s">
        <v>168</v>
      </c>
      <c r="D219" s="109">
        <v>30</v>
      </c>
      <c r="E219" s="100">
        <f>$F$39</f>
        <v>386.38</v>
      </c>
      <c r="F219" s="100">
        <f>ROUND(D219*E219,2)</f>
        <v>11591.4</v>
      </c>
      <c r="G219" s="100"/>
    </row>
    <row r="220" spans="1:8" x14ac:dyDescent="0.3">
      <c r="A220" s="114"/>
      <c r="B220" s="114"/>
      <c r="C220" s="115"/>
      <c r="D220" s="116" t="s">
        <v>170</v>
      </c>
      <c r="E220" s="117"/>
      <c r="F220" s="132"/>
      <c r="G220" s="113">
        <f>SUM(F218:F219)</f>
        <v>11591.4</v>
      </c>
      <c r="H220" s="91"/>
    </row>
    <row r="221" spans="1:8" ht="15" thickBot="1" x14ac:dyDescent="0.35">
      <c r="C221" s="80"/>
      <c r="D221" s="125"/>
      <c r="E221" s="78"/>
      <c r="F221" s="78"/>
      <c r="G221" s="117"/>
    </row>
    <row r="222" spans="1:8" ht="15.6" thickTop="1" thickBot="1" x14ac:dyDescent="0.35">
      <c r="C222" s="80"/>
      <c r="D222" s="125" t="s">
        <v>171</v>
      </c>
      <c r="E222" s="78"/>
      <c r="F222" s="78"/>
      <c r="G222" s="135">
        <f>SUM(G213:G220)</f>
        <v>11591.4</v>
      </c>
      <c r="H222" s="136"/>
    </row>
    <row r="223" spans="1:8" ht="15" thickTop="1" x14ac:dyDescent="0.3">
      <c r="C223" s="80"/>
      <c r="D223" s="125"/>
      <c r="E223" s="78"/>
      <c r="F223" s="78"/>
      <c r="G223" s="137"/>
    </row>
    <row r="224" spans="1:8" ht="15.6" x14ac:dyDescent="0.3">
      <c r="A224" s="79" t="s">
        <v>128</v>
      </c>
      <c r="B224" s="81" t="s">
        <v>193</v>
      </c>
      <c r="C224" s="80"/>
      <c r="D224" s="125"/>
      <c r="E224" s="78"/>
      <c r="F224" s="78"/>
      <c r="G224" s="78"/>
    </row>
    <row r="225" spans="1:8" ht="15.6" x14ac:dyDescent="0.3">
      <c r="A225" s="79" t="s">
        <v>130</v>
      </c>
      <c r="B225" s="81" t="s">
        <v>185</v>
      </c>
      <c r="C225" s="80"/>
      <c r="D225" s="125"/>
      <c r="E225" s="78"/>
      <c r="F225" s="78"/>
      <c r="G225" s="78"/>
    </row>
    <row r="226" spans="1:8" x14ac:dyDescent="0.3">
      <c r="C226" s="80"/>
      <c r="D226" s="125"/>
      <c r="E226" s="78"/>
      <c r="F226" s="78"/>
      <c r="G226" s="78"/>
    </row>
    <row r="227" spans="1:8" ht="15" thickBot="1" x14ac:dyDescent="0.35">
      <c r="A227" s="79" t="s">
        <v>161</v>
      </c>
      <c r="C227" s="80"/>
      <c r="D227" s="125"/>
      <c r="E227" s="78"/>
      <c r="F227" s="78"/>
      <c r="G227" s="78"/>
    </row>
    <row r="228" spans="1:8" ht="15" thickTop="1" x14ac:dyDescent="0.3">
      <c r="A228" s="84" t="s">
        <v>3</v>
      </c>
      <c r="B228" s="85" t="s">
        <v>135</v>
      </c>
      <c r="C228" s="86" t="s">
        <v>5</v>
      </c>
      <c r="D228" s="87" t="s">
        <v>6</v>
      </c>
      <c r="E228" s="88" t="s">
        <v>28</v>
      </c>
      <c r="F228" s="88" t="s">
        <v>28</v>
      </c>
      <c r="G228" s="89"/>
    </row>
    <row r="229" spans="1:8" ht="15" thickBot="1" x14ac:dyDescent="0.35">
      <c r="A229" s="90"/>
      <c r="B229" s="91"/>
      <c r="C229" s="92"/>
      <c r="D229" s="93"/>
      <c r="E229" s="94" t="s">
        <v>11</v>
      </c>
      <c r="F229" s="94" t="s">
        <v>10</v>
      </c>
      <c r="G229" s="89"/>
    </row>
    <row r="230" spans="1:8" ht="15" thickTop="1" x14ac:dyDescent="0.3">
      <c r="A230" s="95"/>
      <c r="B230" s="95" t="str">
        <f>LISTA!$C$10</f>
        <v>Cemento</v>
      </c>
      <c r="C230" s="126" t="str">
        <f>LISTA!$E$10</f>
        <v>Kg</v>
      </c>
      <c r="D230" s="127">
        <v>300</v>
      </c>
      <c r="E230" s="278">
        <f>LISTA!$F$10</f>
        <v>6.15</v>
      </c>
      <c r="F230" s="134">
        <f>ROUND(D230*E230,2)</f>
        <v>1845</v>
      </c>
      <c r="G230" s="100"/>
    </row>
    <row r="231" spans="1:8" x14ac:dyDescent="0.3">
      <c r="A231" s="102"/>
      <c r="B231" s="102" t="str">
        <f>LISTA!$C$11</f>
        <v xml:space="preserve">Arena </v>
      </c>
      <c r="C231" s="108" t="str">
        <f>LISTA!$E$11</f>
        <v>M3</v>
      </c>
      <c r="D231" s="109">
        <v>0.65</v>
      </c>
      <c r="E231" s="279">
        <f>LISTA!$F$11</f>
        <v>2890</v>
      </c>
      <c r="F231" s="100">
        <f>ROUND(D231*E231,2)</f>
        <v>1878.5</v>
      </c>
      <c r="G231" s="100"/>
    </row>
    <row r="232" spans="1:8" x14ac:dyDescent="0.3">
      <c r="A232" s="102"/>
      <c r="B232" s="102" t="str">
        <f>LISTA!$C$12</f>
        <v>Piedra</v>
      </c>
      <c r="C232" s="108" t="str">
        <f>LISTA!$E$12</f>
        <v>M3</v>
      </c>
      <c r="D232" s="109">
        <v>0.65</v>
      </c>
      <c r="E232" s="100">
        <f>LISTA!$F$12</f>
        <v>3520</v>
      </c>
      <c r="F232" s="100">
        <f>ROUND(D232*E232,2)</f>
        <v>2288</v>
      </c>
      <c r="G232" s="100">
        <f>F232+F231+F230</f>
        <v>6011.5</v>
      </c>
    </row>
    <row r="233" spans="1:8" x14ac:dyDescent="0.3">
      <c r="A233" s="102"/>
      <c r="B233" s="102" t="str">
        <f>LISTA!$C$13</f>
        <v>Hierro torsionado</v>
      </c>
      <c r="C233" s="108" t="str">
        <f>LISTA!$E$13</f>
        <v>Kg</v>
      </c>
      <c r="D233" s="109">
        <v>80</v>
      </c>
      <c r="E233" s="100">
        <f>LISTA!$F$13</f>
        <v>1562</v>
      </c>
      <c r="F233" s="100">
        <f>ROUND(D233*E233,2)</f>
        <v>124960</v>
      </c>
      <c r="G233" s="100" t="s">
        <v>21</v>
      </c>
    </row>
    <row r="234" spans="1:8" x14ac:dyDescent="0.3">
      <c r="A234" s="102"/>
      <c r="B234" s="102" t="str">
        <f>LISTA!$C$15</f>
        <v>Alambre Negro</v>
      </c>
      <c r="C234" s="108" t="str">
        <f>LISTA!$E$15</f>
        <v>Kg</v>
      </c>
      <c r="D234" s="109">
        <v>0.8</v>
      </c>
      <c r="E234" s="100">
        <f>LISTA!$F$15</f>
        <v>298</v>
      </c>
      <c r="F234" s="100">
        <f>ROUND(D234*E234,2)</f>
        <v>238.4</v>
      </c>
      <c r="G234" s="100"/>
    </row>
    <row r="235" spans="1:8" x14ac:dyDescent="0.3">
      <c r="A235" s="114"/>
      <c r="B235" s="114"/>
      <c r="C235" s="115"/>
      <c r="D235" s="116" t="s">
        <v>165</v>
      </c>
      <c r="E235" s="117"/>
      <c r="F235" s="132"/>
      <c r="G235" s="113">
        <f>SUM(F230:F234)</f>
        <v>131209.9</v>
      </c>
      <c r="H235" s="91"/>
    </row>
    <row r="236" spans="1:8" x14ac:dyDescent="0.3">
      <c r="C236" s="80"/>
      <c r="D236" s="125"/>
      <c r="E236" s="78"/>
      <c r="F236" s="78"/>
      <c r="G236" s="117"/>
    </row>
    <row r="237" spans="1:8" ht="15" thickBot="1" x14ac:dyDescent="0.35">
      <c r="A237" s="79" t="s">
        <v>166</v>
      </c>
      <c r="C237" s="80"/>
      <c r="D237" s="125"/>
      <c r="E237" s="78"/>
      <c r="F237" s="78"/>
      <c r="G237" s="78"/>
    </row>
    <row r="238" spans="1:8" ht="15" thickTop="1" x14ac:dyDescent="0.3">
      <c r="A238" s="84" t="s">
        <v>3</v>
      </c>
      <c r="B238" s="85" t="s">
        <v>135</v>
      </c>
      <c r="C238" s="86" t="s">
        <v>5</v>
      </c>
      <c r="D238" s="87" t="s">
        <v>6</v>
      </c>
      <c r="E238" s="88" t="s">
        <v>28</v>
      </c>
      <c r="F238" s="88" t="s">
        <v>28</v>
      </c>
      <c r="G238" s="89"/>
    </row>
    <row r="239" spans="1:8" ht="15" thickBot="1" x14ac:dyDescent="0.35">
      <c r="A239" s="90"/>
      <c r="B239" s="91"/>
      <c r="C239" s="92"/>
      <c r="D239" s="93"/>
      <c r="E239" s="94" t="s">
        <v>11</v>
      </c>
      <c r="F239" s="94" t="s">
        <v>10</v>
      </c>
      <c r="G239" s="89"/>
    </row>
    <row r="240" spans="1:8" ht="15" thickTop="1" x14ac:dyDescent="0.3">
      <c r="A240" s="95"/>
      <c r="B240" s="95" t="s">
        <v>167</v>
      </c>
      <c r="C240" s="126" t="s">
        <v>168</v>
      </c>
      <c r="D240" s="127">
        <v>12</v>
      </c>
      <c r="E240" s="134">
        <f>$F$22</f>
        <v>1238.96</v>
      </c>
      <c r="F240" s="134">
        <f>ROUND(D240*E240,2)</f>
        <v>14867.52</v>
      </c>
      <c r="G240" s="100"/>
    </row>
    <row r="241" spans="1:8" x14ac:dyDescent="0.3">
      <c r="A241" s="102"/>
      <c r="B241" s="102" t="s">
        <v>169</v>
      </c>
      <c r="C241" s="108" t="s">
        <v>168</v>
      </c>
      <c r="D241" s="109">
        <v>16</v>
      </c>
      <c r="E241" s="100">
        <f>$F$39</f>
        <v>386.38</v>
      </c>
      <c r="F241" s="100">
        <f>ROUND(D241*E241,2)</f>
        <v>6182.08</v>
      </c>
      <c r="G241" s="100"/>
    </row>
    <row r="242" spans="1:8" x14ac:dyDescent="0.3">
      <c r="A242" s="114"/>
      <c r="B242" s="114"/>
      <c r="C242" s="115"/>
      <c r="D242" s="116" t="s">
        <v>170</v>
      </c>
      <c r="E242" s="117"/>
      <c r="F242" s="132"/>
      <c r="G242" s="113">
        <f>SUM(F240:F241)</f>
        <v>21049.599999999999</v>
      </c>
      <c r="H242" s="91"/>
    </row>
    <row r="243" spans="1:8" ht="15" thickBot="1" x14ac:dyDescent="0.35">
      <c r="C243" s="80"/>
      <c r="D243" s="125"/>
      <c r="E243" s="78"/>
      <c r="F243" s="78"/>
      <c r="G243" s="117"/>
    </row>
    <row r="244" spans="1:8" ht="15.6" thickTop="1" thickBot="1" x14ac:dyDescent="0.35">
      <c r="C244" s="80"/>
      <c r="D244" s="125" t="s">
        <v>171</v>
      </c>
      <c r="E244" s="78"/>
      <c r="F244" s="78"/>
      <c r="G244" s="135">
        <f>SUM(G235:G242)</f>
        <v>152259.5</v>
      </c>
      <c r="H244" s="136"/>
    </row>
    <row r="245" spans="1:8" ht="15" thickTop="1" x14ac:dyDescent="0.3">
      <c r="C245" s="80"/>
      <c r="D245" s="125"/>
      <c r="E245" s="78"/>
      <c r="F245" s="78"/>
      <c r="G245" s="137"/>
    </row>
    <row r="246" spans="1:8" ht="15.6" x14ac:dyDescent="0.3">
      <c r="A246" s="79" t="s">
        <v>128</v>
      </c>
      <c r="B246" s="81" t="s">
        <v>194</v>
      </c>
      <c r="C246" s="80"/>
      <c r="D246" s="125"/>
      <c r="E246" s="78"/>
      <c r="F246" s="78"/>
      <c r="G246" s="78"/>
    </row>
    <row r="247" spans="1:8" ht="15.6" x14ac:dyDescent="0.3">
      <c r="A247" s="79" t="s">
        <v>130</v>
      </c>
      <c r="B247" s="81" t="s">
        <v>185</v>
      </c>
      <c r="C247" s="80"/>
      <c r="D247" s="125"/>
      <c r="E247" s="78"/>
      <c r="F247" s="78"/>
      <c r="G247" s="78"/>
    </row>
    <row r="248" spans="1:8" x14ac:dyDescent="0.3">
      <c r="C248" s="80"/>
      <c r="D248" s="125"/>
      <c r="E248" s="78"/>
      <c r="F248" s="78"/>
      <c r="G248" s="78"/>
    </row>
    <row r="249" spans="1:8" ht="15" thickBot="1" x14ac:dyDescent="0.35">
      <c r="A249" s="79" t="s">
        <v>161</v>
      </c>
      <c r="C249" s="80"/>
      <c r="D249" s="125"/>
      <c r="E249" s="78"/>
      <c r="F249" s="78"/>
      <c r="G249" s="78"/>
    </row>
    <row r="250" spans="1:8" ht="15" thickTop="1" x14ac:dyDescent="0.3">
      <c r="A250" s="84" t="s">
        <v>3</v>
      </c>
      <c r="B250" s="85" t="s">
        <v>135</v>
      </c>
      <c r="C250" s="86" t="s">
        <v>5</v>
      </c>
      <c r="D250" s="87" t="s">
        <v>6</v>
      </c>
      <c r="E250" s="88" t="s">
        <v>28</v>
      </c>
      <c r="F250" s="88" t="s">
        <v>28</v>
      </c>
      <c r="G250" s="89"/>
    </row>
    <row r="251" spans="1:8" ht="15" thickBot="1" x14ac:dyDescent="0.35">
      <c r="A251" s="90"/>
      <c r="B251" s="91"/>
      <c r="C251" s="92"/>
      <c r="D251" s="93"/>
      <c r="E251" s="94" t="s">
        <v>11</v>
      </c>
      <c r="F251" s="94" t="s">
        <v>10</v>
      </c>
      <c r="G251" s="89"/>
    </row>
    <row r="252" spans="1:8" ht="15" thickTop="1" x14ac:dyDescent="0.3">
      <c r="A252" s="95"/>
      <c r="B252" s="95" t="str">
        <f>LISTA!C10</f>
        <v>Cemento</v>
      </c>
      <c r="C252" s="126" t="str">
        <f>LISTA!E10</f>
        <v>Kg</v>
      </c>
      <c r="D252" s="127">
        <v>350</v>
      </c>
      <c r="E252" s="134">
        <f>LISTA!F10</f>
        <v>6.15</v>
      </c>
      <c r="F252" s="134">
        <f t="shared" ref="F252:F257" si="5">ROUND(D252*E252,2)</f>
        <v>2152.5</v>
      </c>
      <c r="G252" s="100"/>
    </row>
    <row r="253" spans="1:8" x14ac:dyDescent="0.3">
      <c r="A253" s="102"/>
      <c r="B253" s="102" t="str">
        <f>LISTA!C11</f>
        <v xml:space="preserve">Arena </v>
      </c>
      <c r="C253" s="108" t="str">
        <f>LISTA!E11</f>
        <v>M3</v>
      </c>
      <c r="D253" s="109">
        <v>0.65</v>
      </c>
      <c r="E253" s="100">
        <f>LISTA!F11</f>
        <v>2890</v>
      </c>
      <c r="F253" s="100">
        <f t="shared" si="5"/>
        <v>1878.5</v>
      </c>
      <c r="G253" s="100"/>
    </row>
    <row r="254" spans="1:8" x14ac:dyDescent="0.3">
      <c r="A254" s="102"/>
      <c r="B254" s="102" t="str">
        <f>LISTA!C12</f>
        <v>Piedra</v>
      </c>
      <c r="C254" s="108" t="str">
        <f>LISTA!E12</f>
        <v>M3</v>
      </c>
      <c r="D254" s="109">
        <v>0.65</v>
      </c>
      <c r="E254" s="100">
        <f>LISTA!F12</f>
        <v>3520</v>
      </c>
      <c r="F254" s="100">
        <f t="shared" si="5"/>
        <v>2288</v>
      </c>
      <c r="G254" s="100"/>
    </row>
    <row r="255" spans="1:8" x14ac:dyDescent="0.3">
      <c r="A255" s="102"/>
      <c r="B255" s="102" t="str">
        <f>LISTA!C13</f>
        <v>Hierro torsionado</v>
      </c>
      <c r="C255" s="108" t="str">
        <f>LISTA!E13</f>
        <v>Kg</v>
      </c>
      <c r="D255" s="109">
        <v>120</v>
      </c>
      <c r="E255" s="100">
        <f>LISTA!F13</f>
        <v>1562</v>
      </c>
      <c r="F255" s="100">
        <f t="shared" si="5"/>
        <v>187440</v>
      </c>
      <c r="G255" s="100" t="s">
        <v>21</v>
      </c>
    </row>
    <row r="256" spans="1:8" x14ac:dyDescent="0.3">
      <c r="A256" s="102"/>
      <c r="B256" s="102" t="str">
        <f>LISTA!C15</f>
        <v>Alambre Negro</v>
      </c>
      <c r="C256" s="108" t="str">
        <f>LISTA!E15</f>
        <v>Kg</v>
      </c>
      <c r="D256" s="109">
        <v>1.2</v>
      </c>
      <c r="E256" s="100">
        <f>LISTA!F15</f>
        <v>298</v>
      </c>
      <c r="F256" s="100">
        <f t="shared" si="5"/>
        <v>357.6</v>
      </c>
      <c r="G256" s="100"/>
    </row>
    <row r="257" spans="1:8" x14ac:dyDescent="0.3">
      <c r="A257" s="102"/>
      <c r="B257" s="102" t="str">
        <f>LISTA!C16</f>
        <v>Madera para encofrado</v>
      </c>
      <c r="C257" s="108" t="str">
        <f>LISTA!E16</f>
        <v>M2</v>
      </c>
      <c r="D257" s="109">
        <v>4</v>
      </c>
      <c r="E257" s="100">
        <f>LISTA!F16</f>
        <v>478</v>
      </c>
      <c r="F257" s="100">
        <f t="shared" si="5"/>
        <v>1912</v>
      </c>
      <c r="G257" s="100"/>
    </row>
    <row r="258" spans="1:8" x14ac:dyDescent="0.3">
      <c r="A258" s="114"/>
      <c r="B258" s="114"/>
      <c r="C258" s="115"/>
      <c r="D258" s="116" t="s">
        <v>165</v>
      </c>
      <c r="E258" s="117"/>
      <c r="F258" s="132"/>
      <c r="G258" s="113">
        <f>SUM(F252:F257)</f>
        <v>196028.6</v>
      </c>
      <c r="H258" s="91"/>
    </row>
    <row r="259" spans="1:8" x14ac:dyDescent="0.3">
      <c r="C259" s="80"/>
      <c r="D259" s="125"/>
      <c r="E259" s="78"/>
      <c r="F259" s="78"/>
      <c r="G259" s="117"/>
    </row>
    <row r="260" spans="1:8" ht="15" thickBot="1" x14ac:dyDescent="0.35">
      <c r="A260" s="79" t="s">
        <v>166</v>
      </c>
      <c r="C260" s="80"/>
      <c r="D260" s="125"/>
      <c r="E260" s="78"/>
      <c r="F260" s="78"/>
      <c r="G260" s="78"/>
    </row>
    <row r="261" spans="1:8" ht="15" thickTop="1" x14ac:dyDescent="0.3">
      <c r="A261" s="84" t="s">
        <v>3</v>
      </c>
      <c r="B261" s="85" t="s">
        <v>135</v>
      </c>
      <c r="C261" s="86" t="s">
        <v>5</v>
      </c>
      <c r="D261" s="87" t="s">
        <v>6</v>
      </c>
      <c r="E261" s="88" t="s">
        <v>28</v>
      </c>
      <c r="F261" s="88" t="s">
        <v>28</v>
      </c>
      <c r="G261" s="89"/>
    </row>
    <row r="262" spans="1:8" ht="15" thickBot="1" x14ac:dyDescent="0.35">
      <c r="A262" s="90"/>
      <c r="B262" s="91"/>
      <c r="C262" s="92"/>
      <c r="D262" s="93"/>
      <c r="E262" s="94" t="s">
        <v>11</v>
      </c>
      <c r="F262" s="94" t="s">
        <v>10</v>
      </c>
      <c r="G262" s="89"/>
    </row>
    <row r="263" spans="1:8" ht="15" thickTop="1" x14ac:dyDescent="0.3">
      <c r="A263" s="95"/>
      <c r="B263" s="95" t="s">
        <v>167</v>
      </c>
      <c r="C263" s="126" t="s">
        <v>168</v>
      </c>
      <c r="D263" s="127">
        <v>15</v>
      </c>
      <c r="E263" s="134">
        <f>$F$22</f>
        <v>1238.96</v>
      </c>
      <c r="F263" s="134">
        <f>ROUND(D263*E263,2)</f>
        <v>18584.400000000001</v>
      </c>
      <c r="G263" s="100"/>
    </row>
    <row r="264" spans="1:8" x14ac:dyDescent="0.3">
      <c r="A264" s="102"/>
      <c r="B264" s="102" t="s">
        <v>169</v>
      </c>
      <c r="C264" s="108" t="s">
        <v>168</v>
      </c>
      <c r="D264" s="109">
        <v>20</v>
      </c>
      <c r="E264" s="100">
        <f>$F$39</f>
        <v>386.38</v>
      </c>
      <c r="F264" s="100">
        <f>ROUND(D264*E264,2)</f>
        <v>7727.6</v>
      </c>
      <c r="G264" s="100"/>
    </row>
    <row r="265" spans="1:8" x14ac:dyDescent="0.3">
      <c r="A265" s="114"/>
      <c r="B265" s="114"/>
      <c r="C265" s="115"/>
      <c r="D265" s="116" t="s">
        <v>170</v>
      </c>
      <c r="E265" s="117"/>
      <c r="F265" s="132"/>
      <c r="G265" s="113">
        <f>SUM(F263:F264)</f>
        <v>26312</v>
      </c>
      <c r="H265" s="91"/>
    </row>
    <row r="266" spans="1:8" ht="15" thickBot="1" x14ac:dyDescent="0.35">
      <c r="C266" s="80"/>
      <c r="D266" s="125"/>
      <c r="E266" s="78"/>
      <c r="F266" s="78"/>
      <c r="G266" s="117"/>
    </row>
    <row r="267" spans="1:8" ht="15.6" thickTop="1" thickBot="1" x14ac:dyDescent="0.35">
      <c r="C267" s="80"/>
      <c r="D267" s="125" t="s">
        <v>171</v>
      </c>
      <c r="E267" s="78"/>
      <c r="F267" s="78"/>
      <c r="G267" s="135">
        <f>SUM(G258:G265)</f>
        <v>222340.6</v>
      </c>
      <c r="H267" s="136"/>
    </row>
    <row r="268" spans="1:8" ht="15" thickTop="1" x14ac:dyDescent="0.3">
      <c r="C268" s="80"/>
      <c r="D268" s="125"/>
      <c r="E268" s="78"/>
      <c r="F268" s="78"/>
      <c r="G268" s="137"/>
    </row>
    <row r="269" spans="1:8" ht="15.6" x14ac:dyDescent="0.3">
      <c r="A269" s="79" t="s">
        <v>128</v>
      </c>
      <c r="B269" s="81" t="s">
        <v>195</v>
      </c>
      <c r="C269" s="80"/>
      <c r="D269" s="125"/>
      <c r="E269" s="78"/>
      <c r="F269" s="78"/>
      <c r="G269" s="78"/>
    </row>
    <row r="270" spans="1:8" ht="15.6" x14ac:dyDescent="0.3">
      <c r="A270" s="79" t="s">
        <v>130</v>
      </c>
      <c r="B270" s="81" t="s">
        <v>185</v>
      </c>
      <c r="C270" s="80"/>
      <c r="D270" s="125"/>
      <c r="E270" s="78"/>
      <c r="F270" s="78"/>
      <c r="G270" s="78"/>
    </row>
    <row r="271" spans="1:8" x14ac:dyDescent="0.3">
      <c r="C271" s="80"/>
      <c r="D271" s="125"/>
      <c r="E271" s="78"/>
      <c r="F271" s="78"/>
      <c r="G271" s="78"/>
    </row>
    <row r="272" spans="1:8" ht="15" thickBot="1" x14ac:dyDescent="0.35">
      <c r="A272" s="79" t="s">
        <v>161</v>
      </c>
      <c r="C272" s="80"/>
      <c r="D272" s="125"/>
      <c r="E272" s="78"/>
      <c r="F272" s="78"/>
      <c r="G272" s="78"/>
    </row>
    <row r="273" spans="1:8" ht="15" thickTop="1" x14ac:dyDescent="0.3">
      <c r="A273" s="84" t="s">
        <v>3</v>
      </c>
      <c r="B273" s="85" t="s">
        <v>135</v>
      </c>
      <c r="C273" s="86" t="s">
        <v>5</v>
      </c>
      <c r="D273" s="87" t="s">
        <v>6</v>
      </c>
      <c r="E273" s="88" t="s">
        <v>28</v>
      </c>
      <c r="F273" s="88" t="s">
        <v>28</v>
      </c>
      <c r="G273" s="89"/>
    </row>
    <row r="274" spans="1:8" ht="15" thickBot="1" x14ac:dyDescent="0.35">
      <c r="A274" s="90"/>
      <c r="B274" s="141"/>
      <c r="C274" s="142"/>
      <c r="D274" s="143"/>
      <c r="E274" s="144" t="s">
        <v>11</v>
      </c>
      <c r="F274" s="144" t="s">
        <v>10</v>
      </c>
      <c r="G274" s="89"/>
    </row>
    <row r="275" spans="1:8" ht="15" thickTop="1" x14ac:dyDescent="0.3">
      <c r="A275" s="95"/>
      <c r="B275" s="95" t="str">
        <f>LISTA!$C$10</f>
        <v>Cemento</v>
      </c>
      <c r="C275" s="126" t="str">
        <f>LISTA!$E$10</f>
        <v>Kg</v>
      </c>
      <c r="D275" s="127">
        <v>300</v>
      </c>
      <c r="E275" s="134">
        <f>LISTA!$F$10</f>
        <v>6.15</v>
      </c>
      <c r="F275" s="134">
        <f t="shared" ref="F275:F280" si="6">ROUND(D275*E275,2)</f>
        <v>1845</v>
      </c>
      <c r="G275" s="100"/>
    </row>
    <row r="276" spans="1:8" x14ac:dyDescent="0.3">
      <c r="A276" s="102"/>
      <c r="B276" s="102" t="str">
        <f>LISTA!$C$11</f>
        <v xml:space="preserve">Arena </v>
      </c>
      <c r="C276" s="108" t="str">
        <f>LISTA!$E$11</f>
        <v>M3</v>
      </c>
      <c r="D276" s="109">
        <v>0.65</v>
      </c>
      <c r="E276" s="100">
        <f>LISTA!$F$11</f>
        <v>2890</v>
      </c>
      <c r="F276" s="100">
        <f t="shared" si="6"/>
        <v>1878.5</v>
      </c>
      <c r="G276" s="100"/>
    </row>
    <row r="277" spans="1:8" x14ac:dyDescent="0.3">
      <c r="A277" s="102"/>
      <c r="B277" s="102" t="str">
        <f>LISTA!$C$12</f>
        <v>Piedra</v>
      </c>
      <c r="C277" s="108" t="str">
        <f>LISTA!$E$12</f>
        <v>M3</v>
      </c>
      <c r="D277" s="109">
        <v>0.65</v>
      </c>
      <c r="E277" s="100">
        <f>LISTA!$F$12</f>
        <v>3520</v>
      </c>
      <c r="F277" s="100">
        <f t="shared" si="6"/>
        <v>2288</v>
      </c>
      <c r="G277" s="100"/>
    </row>
    <row r="278" spans="1:8" x14ac:dyDescent="0.3">
      <c r="A278" s="102"/>
      <c r="B278" s="102" t="str">
        <f>LISTA!$C$13</f>
        <v>Hierro torsionado</v>
      </c>
      <c r="C278" s="108" t="str">
        <f>LISTA!$E$13</f>
        <v>Kg</v>
      </c>
      <c r="D278" s="109">
        <v>85</v>
      </c>
      <c r="E278" s="100">
        <f>LISTA!$F$13</f>
        <v>1562</v>
      </c>
      <c r="F278" s="100">
        <f t="shared" si="6"/>
        <v>132770</v>
      </c>
      <c r="G278" s="100"/>
    </row>
    <row r="279" spans="1:8" x14ac:dyDescent="0.3">
      <c r="A279" s="102"/>
      <c r="B279" s="102" t="str">
        <f>LISTA!$C$15</f>
        <v>Alambre Negro</v>
      </c>
      <c r="C279" s="108" t="str">
        <f>LISTA!$E$15</f>
        <v>Kg</v>
      </c>
      <c r="D279" s="109">
        <v>1</v>
      </c>
      <c r="E279" s="100">
        <f>LISTA!$F$15</f>
        <v>298</v>
      </c>
      <c r="F279" s="100">
        <f t="shared" si="6"/>
        <v>298</v>
      </c>
      <c r="G279" s="100"/>
    </row>
    <row r="280" spans="1:8" x14ac:dyDescent="0.3">
      <c r="A280" s="102"/>
      <c r="B280" s="102" t="str">
        <f>LISTA!$C$16</f>
        <v>Madera para encofrado</v>
      </c>
      <c r="C280" s="108" t="str">
        <f>LISTA!$E$16</f>
        <v>M2</v>
      </c>
      <c r="D280" s="109">
        <v>1.5</v>
      </c>
      <c r="E280" s="100">
        <f>LISTA!$F$16</f>
        <v>478</v>
      </c>
      <c r="F280" s="100">
        <f t="shared" si="6"/>
        <v>717</v>
      </c>
      <c r="G280" s="100"/>
    </row>
    <row r="281" spans="1:8" x14ac:dyDescent="0.3">
      <c r="A281" s="114"/>
      <c r="B281" s="114"/>
      <c r="C281" s="115"/>
      <c r="D281" s="116" t="s">
        <v>165</v>
      </c>
      <c r="E281" s="117"/>
      <c r="F281" s="132"/>
      <c r="G281" s="113">
        <f>SUM(F275:F280)</f>
        <v>139796.5</v>
      </c>
      <c r="H281" s="91"/>
    </row>
    <row r="282" spans="1:8" x14ac:dyDescent="0.3">
      <c r="C282" s="80"/>
      <c r="D282" s="125"/>
      <c r="E282" s="78"/>
      <c r="F282" s="78"/>
      <c r="G282" s="117"/>
    </row>
    <row r="283" spans="1:8" ht="15" thickBot="1" x14ac:dyDescent="0.35">
      <c r="A283" s="79" t="s">
        <v>166</v>
      </c>
      <c r="C283" s="80"/>
      <c r="D283" s="125"/>
      <c r="E283" s="78"/>
      <c r="F283" s="78"/>
      <c r="G283" s="78"/>
    </row>
    <row r="284" spans="1:8" ht="15" thickTop="1" x14ac:dyDescent="0.3">
      <c r="A284" s="84" t="s">
        <v>3</v>
      </c>
      <c r="B284" s="85" t="s">
        <v>135</v>
      </c>
      <c r="C284" s="86" t="s">
        <v>5</v>
      </c>
      <c r="D284" s="87" t="s">
        <v>6</v>
      </c>
      <c r="E284" s="88" t="s">
        <v>28</v>
      </c>
      <c r="F284" s="88" t="s">
        <v>28</v>
      </c>
      <c r="G284" s="89"/>
    </row>
    <row r="285" spans="1:8" ht="15" thickBot="1" x14ac:dyDescent="0.35">
      <c r="A285" s="90"/>
      <c r="B285" s="91"/>
      <c r="C285" s="92"/>
      <c r="D285" s="93"/>
      <c r="E285" s="94" t="s">
        <v>11</v>
      </c>
      <c r="F285" s="94" t="s">
        <v>10</v>
      </c>
      <c r="G285" s="89"/>
    </row>
    <row r="286" spans="1:8" ht="15" thickTop="1" x14ac:dyDescent="0.3">
      <c r="A286" s="95"/>
      <c r="B286" s="95" t="s">
        <v>167</v>
      </c>
      <c r="C286" s="126" t="s">
        <v>168</v>
      </c>
      <c r="D286" s="127">
        <v>12</v>
      </c>
      <c r="E286" s="134">
        <f>$F$22</f>
        <v>1238.96</v>
      </c>
      <c r="F286" s="134">
        <f>ROUND(D286*E286,2)</f>
        <v>14867.52</v>
      </c>
      <c r="G286" s="100"/>
    </row>
    <row r="287" spans="1:8" x14ac:dyDescent="0.3">
      <c r="A287" s="102"/>
      <c r="B287" s="102" t="s">
        <v>169</v>
      </c>
      <c r="C287" s="108" t="s">
        <v>168</v>
      </c>
      <c r="D287" s="109">
        <v>16</v>
      </c>
      <c r="E287" s="100">
        <f>$F$39</f>
        <v>386.38</v>
      </c>
      <c r="F287" s="100">
        <f>ROUND(D287*E287,2)</f>
        <v>6182.08</v>
      </c>
      <c r="G287" s="100"/>
    </row>
    <row r="288" spans="1:8" x14ac:dyDescent="0.3">
      <c r="A288" s="114"/>
      <c r="B288" s="114"/>
      <c r="C288" s="115"/>
      <c r="D288" s="116" t="s">
        <v>170</v>
      </c>
      <c r="E288" s="117"/>
      <c r="F288" s="132"/>
      <c r="G288" s="113">
        <f>SUM(F286:F287)</f>
        <v>21049.599999999999</v>
      </c>
      <c r="H288" s="91"/>
    </row>
    <row r="289" spans="1:8" ht="15" thickBot="1" x14ac:dyDescent="0.35">
      <c r="C289" s="80"/>
      <c r="D289" s="125"/>
      <c r="E289" s="78"/>
      <c r="F289" s="78"/>
      <c r="G289" s="117"/>
    </row>
    <row r="290" spans="1:8" ht="15.6" thickTop="1" thickBot="1" x14ac:dyDescent="0.35">
      <c r="C290" s="80"/>
      <c r="D290" s="125" t="s">
        <v>171</v>
      </c>
      <c r="E290" s="78"/>
      <c r="F290" s="78"/>
      <c r="G290" s="135">
        <f>SUM(G281:G288)</f>
        <v>160846.1</v>
      </c>
      <c r="H290" s="136"/>
    </row>
    <row r="291" spans="1:8" ht="13.5" customHeight="1" thickTop="1" x14ac:dyDescent="0.3">
      <c r="C291" s="80"/>
      <c r="D291" s="125"/>
      <c r="E291" s="78"/>
      <c r="F291" s="78"/>
      <c r="G291" s="137"/>
    </row>
    <row r="292" spans="1:8" ht="15.6" x14ac:dyDescent="0.3">
      <c r="A292" s="79" t="s">
        <v>128</v>
      </c>
      <c r="B292" s="81" t="s">
        <v>196</v>
      </c>
      <c r="C292" s="80"/>
      <c r="D292" s="125"/>
      <c r="E292" s="78"/>
      <c r="F292" s="78"/>
      <c r="G292" s="78"/>
    </row>
    <row r="293" spans="1:8" ht="15.6" x14ac:dyDescent="0.3">
      <c r="A293" s="79" t="s">
        <v>130</v>
      </c>
      <c r="B293" s="81" t="s">
        <v>197</v>
      </c>
      <c r="C293" s="80"/>
      <c r="D293" s="125"/>
      <c r="E293" s="78"/>
      <c r="F293" s="78"/>
      <c r="G293" s="78"/>
    </row>
    <row r="294" spans="1:8" x14ac:dyDescent="0.3">
      <c r="C294" s="80"/>
      <c r="D294" s="125"/>
      <c r="E294" s="78"/>
      <c r="F294" s="78"/>
      <c r="G294" s="78"/>
    </row>
    <row r="295" spans="1:8" ht="15" thickBot="1" x14ac:dyDescent="0.35">
      <c r="A295" s="79" t="s">
        <v>161</v>
      </c>
      <c r="C295" s="80"/>
      <c r="D295" s="125"/>
      <c r="E295" s="78"/>
      <c r="F295" s="78"/>
      <c r="G295" s="78"/>
    </row>
    <row r="296" spans="1:8" ht="15" thickTop="1" x14ac:dyDescent="0.3">
      <c r="A296" s="84" t="s">
        <v>3</v>
      </c>
      <c r="B296" s="85" t="s">
        <v>135</v>
      </c>
      <c r="C296" s="86" t="s">
        <v>5</v>
      </c>
      <c r="D296" s="87" t="s">
        <v>6</v>
      </c>
      <c r="E296" s="88" t="s">
        <v>28</v>
      </c>
      <c r="F296" s="88" t="s">
        <v>28</v>
      </c>
      <c r="G296" s="89"/>
    </row>
    <row r="297" spans="1:8" ht="15" thickBot="1" x14ac:dyDescent="0.35">
      <c r="A297" s="90"/>
      <c r="B297" s="91"/>
      <c r="C297" s="92"/>
      <c r="D297" s="93"/>
      <c r="E297" s="94" t="s">
        <v>11</v>
      </c>
      <c r="F297" s="94" t="s">
        <v>10</v>
      </c>
      <c r="G297" s="89"/>
    </row>
    <row r="298" spans="1:8" ht="15" thickTop="1" x14ac:dyDescent="0.3">
      <c r="A298" s="95"/>
      <c r="B298" s="95" t="str">
        <f>LISTA!$C$80</f>
        <v>Mortero de cto 1:3</v>
      </c>
      <c r="C298" s="126" t="str">
        <f>LISTA!$E$80</f>
        <v>M3</v>
      </c>
      <c r="D298" s="127">
        <f>0.3*0.03</f>
        <v>8.9999999999999993E-3</v>
      </c>
      <c r="E298" s="146">
        <f>LISTA!$F$80</f>
        <v>1086</v>
      </c>
      <c r="F298" s="134">
        <f>ROUND(D298*E298,2)</f>
        <v>9.77</v>
      </c>
      <c r="G298" s="100"/>
    </row>
    <row r="299" spans="1:8" x14ac:dyDescent="0.3">
      <c r="A299" s="102"/>
      <c r="B299" s="102" t="str">
        <f>LISTA!C14</f>
        <v>Mallas sold. de Fe tors</v>
      </c>
      <c r="C299" s="108" t="str">
        <f>LISTA!$E$14</f>
        <v>Kg</v>
      </c>
      <c r="D299" s="109">
        <v>0.6</v>
      </c>
      <c r="E299" s="147">
        <f>LISTA!$F$14</f>
        <v>695.41</v>
      </c>
      <c r="F299" s="100">
        <f>ROUND(D299*E299,2)</f>
        <v>417.25</v>
      </c>
      <c r="G299" s="100"/>
    </row>
    <row r="300" spans="1:8" x14ac:dyDescent="0.3">
      <c r="A300" s="114"/>
      <c r="B300" s="114"/>
      <c r="C300" s="115"/>
      <c r="D300" s="116" t="s">
        <v>165</v>
      </c>
      <c r="E300" s="117"/>
      <c r="F300" s="132"/>
      <c r="G300" s="113">
        <f>SUM(F298:F299)</f>
        <v>427.02</v>
      </c>
      <c r="H300" s="91"/>
    </row>
    <row r="301" spans="1:8" x14ac:dyDescent="0.3">
      <c r="C301" s="80"/>
      <c r="D301" s="125"/>
      <c r="E301" s="78"/>
      <c r="F301" s="78"/>
      <c r="G301" s="117"/>
    </row>
    <row r="302" spans="1:8" ht="15" thickBot="1" x14ac:dyDescent="0.35">
      <c r="A302" s="79" t="s">
        <v>166</v>
      </c>
      <c r="C302" s="80"/>
      <c r="D302" s="125"/>
      <c r="E302" s="78"/>
      <c r="F302" s="78"/>
      <c r="G302" s="78"/>
    </row>
    <row r="303" spans="1:8" ht="15" thickTop="1" x14ac:dyDescent="0.3">
      <c r="A303" s="84" t="s">
        <v>3</v>
      </c>
      <c r="B303" s="85" t="s">
        <v>135</v>
      </c>
      <c r="C303" s="86" t="s">
        <v>5</v>
      </c>
      <c r="D303" s="87" t="s">
        <v>6</v>
      </c>
      <c r="E303" s="88" t="s">
        <v>28</v>
      </c>
      <c r="F303" s="88" t="s">
        <v>28</v>
      </c>
      <c r="G303" s="89"/>
    </row>
    <row r="304" spans="1:8" ht="15" thickBot="1" x14ac:dyDescent="0.35">
      <c r="A304" s="90"/>
      <c r="B304" s="91"/>
      <c r="C304" s="92"/>
      <c r="D304" s="93"/>
      <c r="E304" s="94" t="s">
        <v>11</v>
      </c>
      <c r="F304" s="94" t="s">
        <v>10</v>
      </c>
      <c r="G304" s="89"/>
    </row>
    <row r="305" spans="1:8" ht="15" thickTop="1" x14ac:dyDescent="0.3">
      <c r="A305" s="95"/>
      <c r="B305" s="95" t="s">
        <v>167</v>
      </c>
      <c r="C305" s="126" t="s">
        <v>168</v>
      </c>
      <c r="D305" s="127">
        <v>0.3</v>
      </c>
      <c r="E305" s="134">
        <f>$F$22</f>
        <v>1238.96</v>
      </c>
      <c r="F305" s="134">
        <f>ROUND(D305*E305,2)</f>
        <v>371.69</v>
      </c>
      <c r="G305" s="100"/>
    </row>
    <row r="306" spans="1:8" x14ac:dyDescent="0.3">
      <c r="A306" s="102"/>
      <c r="B306" s="102" t="s">
        <v>169</v>
      </c>
      <c r="C306" s="108" t="s">
        <v>168</v>
      </c>
      <c r="D306" s="109">
        <v>0.15</v>
      </c>
      <c r="E306" s="100">
        <f>$F$39</f>
        <v>386.38</v>
      </c>
      <c r="F306" s="100">
        <f>ROUND(D306*E306,2)</f>
        <v>57.96</v>
      </c>
      <c r="G306" s="100"/>
    </row>
    <row r="307" spans="1:8" x14ac:dyDescent="0.3">
      <c r="A307" s="114"/>
      <c r="B307" s="114"/>
      <c r="C307" s="115"/>
      <c r="D307" s="116" t="s">
        <v>170</v>
      </c>
      <c r="E307" s="117"/>
      <c r="F307" s="132"/>
      <c r="G307" s="113">
        <f>SUM(F305:F306)</f>
        <v>429.65</v>
      </c>
      <c r="H307" s="91"/>
    </row>
    <row r="308" spans="1:8" ht="15" thickBot="1" x14ac:dyDescent="0.35">
      <c r="C308" s="80"/>
      <c r="D308" s="125"/>
      <c r="E308" s="78"/>
      <c r="F308" s="78"/>
      <c r="G308" s="117"/>
    </row>
    <row r="309" spans="1:8" ht="15.6" thickTop="1" thickBot="1" x14ac:dyDescent="0.35">
      <c r="C309" s="80"/>
      <c r="D309" s="125" t="s">
        <v>171</v>
      </c>
      <c r="E309" s="78"/>
      <c r="F309" s="78"/>
      <c r="G309" s="135">
        <f>SUM(G300:G307)</f>
        <v>856.67</v>
      </c>
      <c r="H309" s="136"/>
    </row>
    <row r="310" spans="1:8" ht="15" thickTop="1" x14ac:dyDescent="0.3">
      <c r="C310" s="80"/>
      <c r="D310" s="125"/>
      <c r="E310" s="78"/>
      <c r="F310" s="78"/>
      <c r="G310" s="137"/>
    </row>
    <row r="311" spans="1:8" ht="15.6" x14ac:dyDescent="0.3">
      <c r="A311" s="79" t="s">
        <v>128</v>
      </c>
      <c r="B311" s="81" t="s">
        <v>198</v>
      </c>
      <c r="C311" s="80"/>
      <c r="D311" s="125"/>
      <c r="E311" s="78"/>
      <c r="F311" s="78"/>
      <c r="G311" s="78"/>
    </row>
    <row r="312" spans="1:8" ht="15.6" x14ac:dyDescent="0.3">
      <c r="A312" s="79" t="s">
        <v>130</v>
      </c>
      <c r="B312" s="81" t="s">
        <v>185</v>
      </c>
      <c r="C312" s="80"/>
      <c r="D312" s="125"/>
      <c r="E312" s="78"/>
      <c r="F312" s="78"/>
      <c r="G312" s="78"/>
    </row>
    <row r="313" spans="1:8" x14ac:dyDescent="0.3">
      <c r="C313" s="80"/>
      <c r="D313" s="125"/>
      <c r="E313" s="78"/>
      <c r="F313" s="78"/>
      <c r="G313" s="78"/>
    </row>
    <row r="314" spans="1:8" ht="15" thickBot="1" x14ac:dyDescent="0.35">
      <c r="A314" s="79" t="s">
        <v>161</v>
      </c>
      <c r="C314" s="80"/>
      <c r="D314" s="125"/>
      <c r="E314" s="78"/>
      <c r="F314" s="78"/>
      <c r="G314" s="78"/>
    </row>
    <row r="315" spans="1:8" ht="15" thickTop="1" x14ac:dyDescent="0.3">
      <c r="A315" s="84" t="s">
        <v>3</v>
      </c>
      <c r="B315" s="85" t="s">
        <v>135</v>
      </c>
      <c r="C315" s="86" t="s">
        <v>5</v>
      </c>
      <c r="D315" s="87" t="s">
        <v>6</v>
      </c>
      <c r="E315" s="88" t="s">
        <v>28</v>
      </c>
      <c r="F315" s="88" t="s">
        <v>28</v>
      </c>
      <c r="G315" s="89"/>
    </row>
    <row r="316" spans="1:8" ht="15" thickBot="1" x14ac:dyDescent="0.35">
      <c r="A316" s="140"/>
      <c r="B316" s="141"/>
      <c r="C316" s="142"/>
      <c r="D316" s="143"/>
      <c r="E316" s="144" t="s">
        <v>11</v>
      </c>
      <c r="F316" s="144" t="s">
        <v>10</v>
      </c>
      <c r="G316" s="89"/>
    </row>
    <row r="317" spans="1:8" ht="15" thickTop="1" x14ac:dyDescent="0.3">
      <c r="A317" s="95"/>
      <c r="B317" s="95" t="str">
        <f>LISTA!$C$10</f>
        <v>Cemento</v>
      </c>
      <c r="C317" s="126" t="str">
        <f>LISTA!$E$10</f>
        <v>Kg</v>
      </c>
      <c r="D317" s="127">
        <v>25</v>
      </c>
      <c r="E317" s="134">
        <f>LISTA!$F$10</f>
        <v>6.15</v>
      </c>
      <c r="F317" s="134">
        <f>ROUND(D317*E317,2)</f>
        <v>153.75</v>
      </c>
      <c r="G317" s="100"/>
    </row>
    <row r="318" spans="1:8" x14ac:dyDescent="0.3">
      <c r="A318" s="102"/>
      <c r="B318" s="102" t="str">
        <f>LISTA!$C$11</f>
        <v xml:space="preserve">Arena </v>
      </c>
      <c r="C318" s="108" t="str">
        <f>LISTA!$E$11</f>
        <v>M3</v>
      </c>
      <c r="D318" s="109">
        <v>0.3</v>
      </c>
      <c r="E318" s="100">
        <f>LISTA!$F$11</f>
        <v>2890</v>
      </c>
      <c r="F318" s="100">
        <f>ROUND(D318*E318,2)</f>
        <v>867</v>
      </c>
      <c r="G318" s="100"/>
    </row>
    <row r="319" spans="1:8" x14ac:dyDescent="0.3">
      <c r="A319" s="102"/>
      <c r="B319" s="102" t="str">
        <f>LISTA!$C$17</f>
        <v>Cal</v>
      </c>
      <c r="C319" s="108" t="str">
        <f>LISTA!$E$17</f>
        <v>Kg</v>
      </c>
      <c r="D319" s="109">
        <v>45</v>
      </c>
      <c r="E319" s="100">
        <f>LISTA!$F$17</f>
        <v>3.9</v>
      </c>
      <c r="F319" s="100">
        <f>ROUND(D319*E319,2)</f>
        <v>175.5</v>
      </c>
      <c r="G319" s="100"/>
    </row>
    <row r="320" spans="1:8" x14ac:dyDescent="0.3">
      <c r="A320" s="102"/>
      <c r="B320" s="102" t="str">
        <f>LISTA!$C$38</f>
        <v>Ladrillos comunes</v>
      </c>
      <c r="C320" s="108" t="str">
        <f>LISTA!$E$38</f>
        <v>Nº</v>
      </c>
      <c r="D320" s="109">
        <v>400</v>
      </c>
      <c r="E320" s="100">
        <f>LISTA!$F$38</f>
        <v>20</v>
      </c>
      <c r="F320" s="100">
        <f>ROUND(D320*E320,2)</f>
        <v>8000</v>
      </c>
      <c r="G320" s="100"/>
    </row>
    <row r="321" spans="1:22" x14ac:dyDescent="0.3">
      <c r="A321" s="114"/>
      <c r="B321" s="114"/>
      <c r="C321" s="115"/>
      <c r="D321" s="116" t="s">
        <v>165</v>
      </c>
      <c r="E321" s="117"/>
      <c r="F321" s="132"/>
      <c r="G321" s="113">
        <f>SUM(F317:F320)</f>
        <v>9196.25</v>
      </c>
      <c r="H321" s="91"/>
    </row>
    <row r="322" spans="1:22" x14ac:dyDescent="0.3">
      <c r="C322" s="80"/>
      <c r="D322" s="125"/>
      <c r="E322" s="78"/>
      <c r="F322" s="78"/>
      <c r="G322" s="117"/>
    </row>
    <row r="323" spans="1:22" ht="15" thickBot="1" x14ac:dyDescent="0.35">
      <c r="A323" s="79" t="s">
        <v>166</v>
      </c>
      <c r="C323" s="80"/>
      <c r="D323" s="125"/>
      <c r="E323" s="78"/>
      <c r="F323" s="78"/>
      <c r="G323" s="78"/>
    </row>
    <row r="324" spans="1:22" ht="15" thickTop="1" x14ac:dyDescent="0.3">
      <c r="A324" s="84" t="s">
        <v>3</v>
      </c>
      <c r="B324" s="85" t="s">
        <v>135</v>
      </c>
      <c r="C324" s="86" t="s">
        <v>5</v>
      </c>
      <c r="D324" s="87" t="s">
        <v>6</v>
      </c>
      <c r="E324" s="88" t="s">
        <v>28</v>
      </c>
      <c r="F324" s="88" t="s">
        <v>28</v>
      </c>
      <c r="G324" s="89"/>
    </row>
    <row r="325" spans="1:22" ht="15" thickBot="1" x14ac:dyDescent="0.35">
      <c r="A325" s="90"/>
      <c r="B325" s="91"/>
      <c r="C325" s="92"/>
      <c r="D325" s="93"/>
      <c r="E325" s="94" t="s">
        <v>11</v>
      </c>
      <c r="F325" s="94" t="s">
        <v>10</v>
      </c>
      <c r="G325" s="89"/>
    </row>
    <row r="326" spans="1:22" ht="15" thickTop="1" x14ac:dyDescent="0.3">
      <c r="A326" s="95"/>
      <c r="B326" s="95" t="s">
        <v>167</v>
      </c>
      <c r="C326" s="126" t="s">
        <v>168</v>
      </c>
      <c r="D326" s="127">
        <v>6</v>
      </c>
      <c r="E326" s="134">
        <f>$F$22</f>
        <v>1238.96</v>
      </c>
      <c r="F326" s="134">
        <f>ROUND(D326*E326,2)</f>
        <v>7433.76</v>
      </c>
      <c r="G326" s="100"/>
    </row>
    <row r="327" spans="1:22" x14ac:dyDescent="0.3">
      <c r="A327" s="102"/>
      <c r="B327" s="102" t="s">
        <v>169</v>
      </c>
      <c r="C327" s="108" t="s">
        <v>168</v>
      </c>
      <c r="D327" s="109">
        <v>8</v>
      </c>
      <c r="E327" s="100">
        <f>$F$39</f>
        <v>386.38</v>
      </c>
      <c r="F327" s="100">
        <f>ROUND(D327*E327,2)</f>
        <v>3091.04</v>
      </c>
      <c r="G327" s="100"/>
    </row>
    <row r="328" spans="1:22" s="76" customFormat="1" x14ac:dyDescent="0.3">
      <c r="A328" s="114"/>
      <c r="B328" s="114"/>
      <c r="C328" s="115"/>
      <c r="D328" s="116" t="s">
        <v>170</v>
      </c>
      <c r="E328" s="117"/>
      <c r="F328" s="132"/>
      <c r="G328" s="113">
        <f>SUM(F326:F327)</f>
        <v>10524.8</v>
      </c>
      <c r="H328" s="91"/>
      <c r="I328" s="56"/>
      <c r="J328" s="56"/>
      <c r="L328" s="77"/>
      <c r="M328" s="56"/>
      <c r="N328" s="56"/>
      <c r="O328" s="56"/>
      <c r="P328" s="56"/>
      <c r="Q328" s="56"/>
      <c r="R328" s="56"/>
      <c r="S328" s="56"/>
      <c r="T328" s="56"/>
      <c r="U328" s="56"/>
      <c r="V328" s="56"/>
    </row>
    <row r="329" spans="1:22" s="76" customFormat="1" ht="15" thickBot="1" x14ac:dyDescent="0.35">
      <c r="A329" s="56"/>
      <c r="B329" s="56"/>
      <c r="C329" s="80"/>
      <c r="D329" s="125"/>
      <c r="E329" s="78"/>
      <c r="F329" s="78"/>
      <c r="G329" s="117"/>
      <c r="H329" s="56"/>
      <c r="I329" s="56"/>
      <c r="J329" s="56"/>
      <c r="L329" s="77"/>
      <c r="M329" s="56"/>
      <c r="N329" s="56"/>
      <c r="O329" s="56"/>
      <c r="P329" s="56"/>
      <c r="Q329" s="56"/>
      <c r="R329" s="56"/>
      <c r="S329" s="56"/>
      <c r="T329" s="56"/>
      <c r="U329" s="56"/>
      <c r="V329" s="56"/>
    </row>
    <row r="330" spans="1:22" s="76" customFormat="1" ht="15.6" thickTop="1" thickBot="1" x14ac:dyDescent="0.35">
      <c r="A330" s="56"/>
      <c r="B330" s="56"/>
      <c r="C330" s="80"/>
      <c r="D330" s="125" t="s">
        <v>171</v>
      </c>
      <c r="E330" s="78"/>
      <c r="F330" s="78" t="str">
        <f>+B312</f>
        <v>(M3)</v>
      </c>
      <c r="G330" s="135">
        <f>SUM(G321:G328)</f>
        <v>19721.05</v>
      </c>
      <c r="H330" s="136"/>
      <c r="I330" s="56"/>
      <c r="J330" s="56"/>
      <c r="L330" s="77"/>
      <c r="M330" s="56"/>
      <c r="N330" s="56"/>
      <c r="O330" s="56"/>
      <c r="P330" s="56"/>
      <c r="Q330" s="56"/>
      <c r="R330" s="56"/>
      <c r="S330" s="56"/>
      <c r="T330" s="56"/>
      <c r="U330" s="56"/>
      <c r="V330" s="56"/>
    </row>
    <row r="331" spans="1:22" s="76" customFormat="1" ht="15" thickTop="1" x14ac:dyDescent="0.3">
      <c r="A331" s="56"/>
      <c r="B331" s="56"/>
      <c r="C331" s="80"/>
      <c r="D331" s="125"/>
      <c r="E331" s="78"/>
      <c r="F331" s="78"/>
      <c r="G331" s="137"/>
      <c r="H331" s="56"/>
      <c r="I331" s="56"/>
      <c r="J331" s="56"/>
      <c r="L331" s="77"/>
      <c r="M331" s="56"/>
      <c r="N331" s="56"/>
      <c r="O331" s="56"/>
      <c r="P331" s="56"/>
      <c r="Q331" s="56"/>
      <c r="R331" s="56"/>
      <c r="S331" s="56"/>
      <c r="T331" s="56"/>
      <c r="U331" s="56"/>
      <c r="V331" s="56"/>
    </row>
    <row r="332" spans="1:22" s="76" customFormat="1" x14ac:dyDescent="0.3">
      <c r="A332" s="56"/>
      <c r="B332" s="56"/>
      <c r="C332" s="80"/>
      <c r="D332" s="125"/>
      <c r="E332" s="78"/>
      <c r="F332" s="78"/>
      <c r="G332" s="78"/>
      <c r="H332" s="56"/>
      <c r="I332" s="56"/>
      <c r="J332" s="80"/>
      <c r="L332" s="77"/>
      <c r="M332" s="56"/>
      <c r="N332" s="56"/>
      <c r="O332" s="56"/>
      <c r="P332" s="56"/>
      <c r="Q332" s="56"/>
      <c r="R332" s="56"/>
      <c r="S332" s="56"/>
      <c r="T332" s="56"/>
      <c r="U332" s="56"/>
      <c r="V332" s="56"/>
    </row>
    <row r="333" spans="1:22" s="76" customFormat="1" ht="15.6" x14ac:dyDescent="0.3">
      <c r="A333" s="79" t="s">
        <v>128</v>
      </c>
      <c r="B333" s="81" t="s">
        <v>199</v>
      </c>
      <c r="C333" s="80"/>
      <c r="D333" s="125"/>
      <c r="E333" s="78"/>
      <c r="F333" s="78"/>
      <c r="G333" s="78"/>
      <c r="H333" s="56"/>
      <c r="I333" s="56"/>
      <c r="J333" s="56"/>
      <c r="L333" s="77"/>
      <c r="M333" s="56"/>
      <c r="N333" s="56"/>
      <c r="O333" s="56"/>
      <c r="P333" s="56"/>
      <c r="Q333" s="56"/>
      <c r="R333" s="56"/>
      <c r="S333" s="56"/>
      <c r="T333" s="56"/>
      <c r="U333" s="56"/>
      <c r="V333" s="56"/>
    </row>
    <row r="334" spans="1:22" s="76" customFormat="1" ht="15.6" x14ac:dyDescent="0.3">
      <c r="A334" s="79" t="s">
        <v>130</v>
      </c>
      <c r="B334" s="81" t="s">
        <v>185</v>
      </c>
      <c r="C334" s="80"/>
      <c r="D334" s="125"/>
      <c r="E334" s="78"/>
      <c r="F334" s="78"/>
      <c r="G334" s="78"/>
      <c r="H334" s="56"/>
      <c r="I334" s="56"/>
      <c r="J334" s="56"/>
      <c r="L334" s="77"/>
      <c r="M334" s="56"/>
      <c r="N334" s="56"/>
      <c r="O334" s="56"/>
      <c r="P334" s="56"/>
      <c r="Q334" s="56"/>
      <c r="R334" s="56"/>
      <c r="S334" s="56"/>
      <c r="T334" s="56"/>
      <c r="U334" s="56"/>
      <c r="V334" s="56"/>
    </row>
    <row r="335" spans="1:22" s="76" customFormat="1" x14ac:dyDescent="0.3">
      <c r="A335" s="56"/>
      <c r="B335" s="56"/>
      <c r="C335" s="80"/>
      <c r="D335" s="125"/>
      <c r="E335" s="78"/>
      <c r="F335" s="78"/>
      <c r="G335" s="78"/>
      <c r="H335" s="56"/>
      <c r="I335" s="56"/>
      <c r="J335" s="56"/>
      <c r="L335" s="77"/>
      <c r="M335" s="56"/>
      <c r="N335" s="56"/>
      <c r="O335" s="56"/>
      <c r="P335" s="56"/>
      <c r="Q335" s="56"/>
      <c r="R335" s="56"/>
      <c r="S335" s="56"/>
      <c r="T335" s="56"/>
      <c r="U335" s="56"/>
      <c r="V335" s="56"/>
    </row>
    <row r="336" spans="1:22" s="76" customFormat="1" ht="15" thickBot="1" x14ac:dyDescent="0.35">
      <c r="A336" s="79" t="s">
        <v>161</v>
      </c>
      <c r="B336" s="56"/>
      <c r="C336" s="80"/>
      <c r="D336" s="125"/>
      <c r="E336" s="78"/>
      <c r="F336" s="78"/>
      <c r="G336" s="78"/>
      <c r="H336" s="56"/>
      <c r="I336" s="56"/>
      <c r="J336" s="56"/>
      <c r="L336" s="77"/>
      <c r="M336" s="56"/>
      <c r="N336" s="56"/>
      <c r="O336" s="56"/>
      <c r="P336" s="56"/>
      <c r="Q336" s="56"/>
      <c r="R336" s="56"/>
      <c r="S336" s="56"/>
      <c r="T336" s="56"/>
      <c r="U336" s="56"/>
      <c r="V336" s="56"/>
    </row>
    <row r="337" spans="1:22" s="76" customFormat="1" ht="15" thickTop="1" x14ac:dyDescent="0.3">
      <c r="A337" s="84" t="s">
        <v>3</v>
      </c>
      <c r="B337" s="85" t="s">
        <v>135</v>
      </c>
      <c r="C337" s="86" t="s">
        <v>5</v>
      </c>
      <c r="D337" s="87" t="s">
        <v>6</v>
      </c>
      <c r="E337" s="88" t="s">
        <v>28</v>
      </c>
      <c r="F337" s="88" t="s">
        <v>28</v>
      </c>
      <c r="G337" s="89"/>
      <c r="H337" s="56"/>
      <c r="I337" s="56"/>
      <c r="J337" s="56"/>
      <c r="L337" s="77"/>
      <c r="M337" s="56"/>
      <c r="N337" s="56"/>
      <c r="O337" s="56"/>
      <c r="P337" s="56"/>
      <c r="Q337" s="56"/>
      <c r="R337" s="56"/>
      <c r="S337" s="56"/>
      <c r="T337" s="56"/>
      <c r="U337" s="56"/>
      <c r="V337" s="56"/>
    </row>
    <row r="338" spans="1:22" s="76" customFormat="1" ht="15" thickBot="1" x14ac:dyDescent="0.35">
      <c r="A338" s="90"/>
      <c r="B338" s="91"/>
      <c r="C338" s="92"/>
      <c r="D338" s="93"/>
      <c r="E338" s="94" t="s">
        <v>11</v>
      </c>
      <c r="F338" s="94" t="s">
        <v>10</v>
      </c>
      <c r="G338" s="89"/>
      <c r="H338" s="56"/>
      <c r="I338" s="56"/>
      <c r="J338" s="56"/>
      <c r="L338" s="77"/>
      <c r="M338" s="56"/>
      <c r="N338" s="56"/>
      <c r="O338" s="56"/>
      <c r="P338" s="56"/>
      <c r="Q338" s="56"/>
      <c r="R338" s="56"/>
      <c r="S338" s="56"/>
      <c r="T338" s="56"/>
      <c r="U338" s="56"/>
      <c r="V338" s="56"/>
    </row>
    <row r="339" spans="1:22" s="76" customFormat="1" ht="15" thickTop="1" x14ac:dyDescent="0.3">
      <c r="A339" s="95"/>
      <c r="B339" s="95" t="str">
        <f>LISTA!$C$10</f>
        <v>Cemento</v>
      </c>
      <c r="C339" s="126" t="str">
        <f>LISTA!$E$10</f>
        <v>Kg</v>
      </c>
      <c r="D339" s="127">
        <v>27</v>
      </c>
      <c r="E339" s="146">
        <f>LISTA!$F$10</f>
        <v>6.15</v>
      </c>
      <c r="F339" s="134">
        <f>ROUND(D339*E339,2)</f>
        <v>166.05</v>
      </c>
      <c r="G339" s="100"/>
      <c r="H339" s="56"/>
      <c r="I339" s="56"/>
      <c r="J339" s="56"/>
      <c r="L339" s="77"/>
      <c r="M339" s="56"/>
      <c r="N339" s="56"/>
      <c r="O339" s="56"/>
      <c r="P339" s="56"/>
      <c r="Q339" s="56"/>
      <c r="R339" s="56"/>
      <c r="S339" s="56"/>
      <c r="T339" s="56"/>
      <c r="U339" s="56"/>
      <c r="V339" s="56"/>
    </row>
    <row r="340" spans="1:22" s="76" customFormat="1" x14ac:dyDescent="0.3">
      <c r="A340" s="102"/>
      <c r="B340" s="102" t="str">
        <f>LISTA!$C$11</f>
        <v xml:space="preserve">Arena </v>
      </c>
      <c r="C340" s="108" t="str">
        <f>LISTA!$E$11</f>
        <v>M3</v>
      </c>
      <c r="D340" s="109">
        <v>0.3</v>
      </c>
      <c r="E340" s="147">
        <f>LISTA!$F$11</f>
        <v>2890</v>
      </c>
      <c r="F340" s="100">
        <f>ROUND(D340*E340,2)</f>
        <v>867</v>
      </c>
      <c r="G340" s="100"/>
      <c r="H340" s="56"/>
      <c r="I340" s="56"/>
      <c r="J340" s="56"/>
      <c r="L340" s="77"/>
      <c r="M340" s="56"/>
      <c r="N340" s="56"/>
      <c r="O340" s="56"/>
      <c r="P340" s="56"/>
      <c r="Q340" s="56"/>
      <c r="R340" s="56"/>
      <c r="S340" s="56"/>
      <c r="T340" s="56"/>
      <c r="U340" s="56"/>
      <c r="V340" s="56"/>
    </row>
    <row r="341" spans="1:22" s="76" customFormat="1" x14ac:dyDescent="0.3">
      <c r="A341" s="102"/>
      <c r="B341" s="102" t="str">
        <f>LISTA!$C$17</f>
        <v>Cal</v>
      </c>
      <c r="C341" s="108" t="str">
        <f>LISTA!$E$17</f>
        <v>Kg</v>
      </c>
      <c r="D341" s="109">
        <v>48</v>
      </c>
      <c r="E341" s="147">
        <f>LISTA!$F$17</f>
        <v>3.9</v>
      </c>
      <c r="F341" s="100">
        <f>ROUND(D341*E341,2)</f>
        <v>187.2</v>
      </c>
      <c r="G341" s="100"/>
      <c r="H341" s="56"/>
      <c r="I341" s="56"/>
      <c r="J341" s="56"/>
      <c r="L341" s="77"/>
      <c r="M341" s="56"/>
      <c r="N341" s="56"/>
      <c r="O341" s="56"/>
      <c r="P341" s="56"/>
      <c r="Q341" s="56"/>
      <c r="R341" s="56"/>
      <c r="S341" s="56"/>
      <c r="T341" s="56"/>
      <c r="U341" s="56"/>
      <c r="V341" s="56"/>
    </row>
    <row r="342" spans="1:22" s="76" customFormat="1" x14ac:dyDescent="0.3">
      <c r="A342" s="102"/>
      <c r="B342" s="102" t="str">
        <f>LISTA!$C$39</f>
        <v>Ladrillos comunes p/visto</v>
      </c>
      <c r="C342" s="108" t="str">
        <f>LISTA!$E$39</f>
        <v>Nº</v>
      </c>
      <c r="D342" s="109">
        <v>400</v>
      </c>
      <c r="E342" s="100">
        <f>LISTA!$F$39</f>
        <v>180</v>
      </c>
      <c r="F342" s="100">
        <f>ROUND(D342*E342,2)</f>
        <v>72000</v>
      </c>
      <c r="G342" s="100"/>
      <c r="H342" s="56"/>
      <c r="I342" s="56"/>
      <c r="J342" s="56"/>
      <c r="L342" s="77"/>
      <c r="M342" s="56"/>
      <c r="N342" s="56"/>
      <c r="O342" s="56"/>
      <c r="P342" s="56"/>
      <c r="Q342" s="56"/>
      <c r="R342" s="56"/>
      <c r="S342" s="56"/>
      <c r="T342" s="56"/>
      <c r="U342" s="56"/>
      <c r="V342" s="56"/>
    </row>
    <row r="343" spans="1:22" s="76" customFormat="1" x14ac:dyDescent="0.3">
      <c r="A343" s="114"/>
      <c r="B343" s="114"/>
      <c r="C343" s="115"/>
      <c r="D343" s="116" t="s">
        <v>165</v>
      </c>
      <c r="E343" s="117"/>
      <c r="F343" s="132"/>
      <c r="G343" s="113">
        <f>SUM(F339:F342)</f>
        <v>73220.25</v>
      </c>
      <c r="H343" s="91"/>
      <c r="I343" s="56"/>
      <c r="J343" s="56"/>
      <c r="L343" s="77"/>
      <c r="M343" s="56"/>
      <c r="N343" s="56"/>
      <c r="O343" s="56"/>
      <c r="P343" s="56"/>
      <c r="Q343" s="56"/>
      <c r="R343" s="56"/>
      <c r="S343" s="56"/>
      <c r="T343" s="56"/>
      <c r="U343" s="56"/>
      <c r="V343" s="56"/>
    </row>
    <row r="344" spans="1:22" x14ac:dyDescent="0.3">
      <c r="C344" s="80"/>
      <c r="D344" s="125"/>
      <c r="E344" s="78"/>
      <c r="F344" s="78"/>
      <c r="G344" s="117"/>
    </row>
    <row r="345" spans="1:22" ht="15" thickBot="1" x14ac:dyDescent="0.35">
      <c r="A345" s="79" t="s">
        <v>166</v>
      </c>
      <c r="C345" s="80"/>
      <c r="D345" s="125"/>
      <c r="E345" s="78"/>
      <c r="F345" s="78"/>
      <c r="G345" s="78"/>
    </row>
    <row r="346" spans="1:22" ht="15" thickTop="1" x14ac:dyDescent="0.3">
      <c r="A346" s="84" t="s">
        <v>3</v>
      </c>
      <c r="B346" s="85" t="s">
        <v>135</v>
      </c>
      <c r="C346" s="86" t="s">
        <v>5</v>
      </c>
      <c r="D346" s="87" t="s">
        <v>6</v>
      </c>
      <c r="E346" s="88" t="s">
        <v>28</v>
      </c>
      <c r="F346" s="88" t="s">
        <v>28</v>
      </c>
      <c r="G346" s="89"/>
    </row>
    <row r="347" spans="1:22" ht="15" thickBot="1" x14ac:dyDescent="0.35">
      <c r="A347" s="90"/>
      <c r="B347" s="91"/>
      <c r="C347" s="92"/>
      <c r="D347" s="93"/>
      <c r="E347" s="94" t="s">
        <v>11</v>
      </c>
      <c r="F347" s="94" t="s">
        <v>10</v>
      </c>
      <c r="G347" s="89"/>
    </row>
    <row r="348" spans="1:22" ht="15" thickTop="1" x14ac:dyDescent="0.3">
      <c r="A348" s="95"/>
      <c r="B348" s="95" t="s">
        <v>167</v>
      </c>
      <c r="C348" s="126" t="s">
        <v>168</v>
      </c>
      <c r="D348" s="127">
        <v>10</v>
      </c>
      <c r="E348" s="134">
        <f>$F$22</f>
        <v>1238.96</v>
      </c>
      <c r="F348" s="134">
        <f>ROUND(D348*E348,2)</f>
        <v>12389.6</v>
      </c>
      <c r="G348" s="100"/>
    </row>
    <row r="349" spans="1:22" x14ac:dyDescent="0.3">
      <c r="A349" s="102"/>
      <c r="B349" s="102" t="s">
        <v>169</v>
      </c>
      <c r="C349" s="108" t="s">
        <v>168</v>
      </c>
      <c r="D349" s="109">
        <v>8</v>
      </c>
      <c r="E349" s="100">
        <f>$F$39</f>
        <v>386.38</v>
      </c>
      <c r="F349" s="100">
        <f>ROUND(D349*E349,2)</f>
        <v>3091.04</v>
      </c>
      <c r="G349" s="100"/>
    </row>
    <row r="350" spans="1:22" x14ac:dyDescent="0.3">
      <c r="A350" s="114"/>
      <c r="B350" s="114"/>
      <c r="C350" s="115"/>
      <c r="D350" s="116" t="s">
        <v>170</v>
      </c>
      <c r="E350" s="117"/>
      <c r="F350" s="132"/>
      <c r="G350" s="113">
        <f>SUM(F348:F349)</f>
        <v>15480.64</v>
      </c>
      <c r="H350" s="91"/>
    </row>
    <row r="351" spans="1:22" ht="15" thickBot="1" x14ac:dyDescent="0.35">
      <c r="C351" s="80"/>
      <c r="D351" s="125"/>
      <c r="E351" s="78"/>
      <c r="F351" s="78"/>
      <c r="G351" s="117"/>
    </row>
    <row r="352" spans="1:22" ht="15.6" thickTop="1" thickBot="1" x14ac:dyDescent="0.35">
      <c r="C352" s="80"/>
      <c r="D352" s="125" t="s">
        <v>171</v>
      </c>
      <c r="E352" s="78"/>
      <c r="F352" s="78"/>
      <c r="G352" s="135">
        <f>SUM(G343:G350)</f>
        <v>88700.89</v>
      </c>
      <c r="H352" s="136"/>
    </row>
    <row r="353" spans="1:12" ht="15" thickTop="1" x14ac:dyDescent="0.3">
      <c r="C353" s="80"/>
      <c r="D353" s="125"/>
      <c r="E353" s="78"/>
      <c r="F353" s="78"/>
      <c r="G353" s="137"/>
    </row>
    <row r="354" spans="1:12" ht="15.6" x14ac:dyDescent="0.3">
      <c r="A354" s="79" t="s">
        <v>128</v>
      </c>
      <c r="B354" s="81" t="s">
        <v>200</v>
      </c>
      <c r="C354" s="80"/>
      <c r="D354" s="125"/>
      <c r="E354" s="78"/>
      <c r="F354" s="78"/>
      <c r="G354" s="78"/>
    </row>
    <row r="355" spans="1:12" ht="15.6" x14ac:dyDescent="0.3">
      <c r="A355" s="79" t="s">
        <v>130</v>
      </c>
      <c r="B355" s="81" t="s">
        <v>185</v>
      </c>
      <c r="C355" s="80"/>
      <c r="D355" s="125"/>
      <c r="E355" s="78"/>
      <c r="F355" s="78"/>
      <c r="G355" s="78"/>
    </row>
    <row r="356" spans="1:12" x14ac:dyDescent="0.3">
      <c r="C356" s="80"/>
      <c r="D356" s="125"/>
      <c r="E356" s="78"/>
      <c r="F356" s="78"/>
      <c r="G356" s="78"/>
    </row>
    <row r="357" spans="1:12" ht="15" thickBot="1" x14ac:dyDescent="0.35">
      <c r="A357" s="79" t="s">
        <v>161</v>
      </c>
      <c r="C357" s="80"/>
      <c r="D357" s="125"/>
      <c r="E357" s="78"/>
      <c r="F357" s="78"/>
      <c r="G357" s="78"/>
    </row>
    <row r="358" spans="1:12" ht="15" thickTop="1" x14ac:dyDescent="0.3">
      <c r="A358" s="84" t="s">
        <v>3</v>
      </c>
      <c r="B358" s="85" t="s">
        <v>135</v>
      </c>
      <c r="C358" s="86" t="s">
        <v>5</v>
      </c>
      <c r="D358" s="87" t="s">
        <v>6</v>
      </c>
      <c r="E358" s="88" t="s">
        <v>28</v>
      </c>
      <c r="F358" s="88" t="s">
        <v>28</v>
      </c>
      <c r="G358" s="89"/>
    </row>
    <row r="359" spans="1:12" ht="15" thickBot="1" x14ac:dyDescent="0.35">
      <c r="A359" s="90"/>
      <c r="B359" s="91"/>
      <c r="C359" s="92"/>
      <c r="D359" s="93"/>
      <c r="E359" s="94" t="s">
        <v>11</v>
      </c>
      <c r="F359" s="94" t="s">
        <v>10</v>
      </c>
      <c r="G359" s="89"/>
    </row>
    <row r="360" spans="1:12" ht="15" thickTop="1" x14ac:dyDescent="0.3">
      <c r="A360" s="95"/>
      <c r="B360" s="95" t="str">
        <f>LISTA!$C$10</f>
        <v>Cemento</v>
      </c>
      <c r="C360" s="126" t="str">
        <f>LISTA!$E$10</f>
        <v>Kg</v>
      </c>
      <c r="D360" s="127">
        <v>27</v>
      </c>
      <c r="E360" s="146">
        <f>LISTA!$F$10</f>
        <v>6.15</v>
      </c>
      <c r="F360" s="134">
        <f>ROUND(D360*E360,2)</f>
        <v>166.05</v>
      </c>
      <c r="G360" s="100"/>
    </row>
    <row r="361" spans="1:12" x14ac:dyDescent="0.3">
      <c r="A361" s="102"/>
      <c r="B361" s="102" t="str">
        <f>LISTA!$C$11</f>
        <v xml:space="preserve">Arena </v>
      </c>
      <c r="C361" s="108" t="str">
        <f>LISTA!$E$11</f>
        <v>M3</v>
      </c>
      <c r="D361" s="109">
        <v>0.3</v>
      </c>
      <c r="E361" s="147">
        <f>LISTA!$F$11</f>
        <v>2890</v>
      </c>
      <c r="F361" s="100">
        <f>ROUND(D361*E361,2)</f>
        <v>867</v>
      </c>
      <c r="G361" s="100"/>
    </row>
    <row r="362" spans="1:12" x14ac:dyDescent="0.3">
      <c r="A362" s="102"/>
      <c r="B362" s="102" t="str">
        <f>LISTA!$C$17</f>
        <v>Cal</v>
      </c>
      <c r="C362" s="108" t="str">
        <f>LISTA!$E$17</f>
        <v>Kg</v>
      </c>
      <c r="D362" s="109">
        <v>48</v>
      </c>
      <c r="E362" s="147">
        <f>LISTA!$F$17</f>
        <v>3.9</v>
      </c>
      <c r="F362" s="100">
        <f>ROUND(D362*E362,2)</f>
        <v>187.2</v>
      </c>
      <c r="G362" s="100"/>
    </row>
    <row r="363" spans="1:12" x14ac:dyDescent="0.3">
      <c r="A363" s="102"/>
      <c r="B363" s="102" t="str">
        <f>LISTA!$C$13</f>
        <v>Hierro torsionado</v>
      </c>
      <c r="C363" s="108" t="str">
        <f>LISTA!$E$13</f>
        <v>Kg</v>
      </c>
      <c r="D363" s="109">
        <v>10</v>
      </c>
      <c r="E363" s="147">
        <f>LISTA!$F$13</f>
        <v>1562</v>
      </c>
      <c r="F363" s="100">
        <f>ROUND(D363*E363,2)</f>
        <v>15620</v>
      </c>
      <c r="G363" s="100"/>
      <c r="K363" s="148">
        <f>0.3*0.3</f>
        <v>0.09</v>
      </c>
    </row>
    <row r="364" spans="1:12" x14ac:dyDescent="0.3">
      <c r="A364" s="102"/>
      <c r="B364" s="102" t="str">
        <f>LISTA!$C$39</f>
        <v>Ladrillos comunes p/visto</v>
      </c>
      <c r="C364" s="108" t="str">
        <f>LISTA!$E$39</f>
        <v>Nº</v>
      </c>
      <c r="D364" s="109">
        <v>400</v>
      </c>
      <c r="E364" s="100">
        <f>LISTA!$F$39</f>
        <v>180</v>
      </c>
      <c r="F364" s="100">
        <f>ROUND(D364*E364,2)</f>
        <v>72000</v>
      </c>
      <c r="G364" s="100"/>
      <c r="K364" s="148">
        <f>1/K363</f>
        <v>11.111111111111111</v>
      </c>
      <c r="L364" s="77">
        <f>+K364*2*0.4</f>
        <v>8.8888888888888893</v>
      </c>
    </row>
    <row r="365" spans="1:12" x14ac:dyDescent="0.3">
      <c r="A365" s="114"/>
      <c r="B365" s="114"/>
      <c r="C365" s="115"/>
      <c r="D365" s="116" t="s">
        <v>165</v>
      </c>
      <c r="E365" s="117"/>
      <c r="F365" s="132"/>
      <c r="G365" s="113">
        <f>SUM(F360:F364)</f>
        <v>88840.25</v>
      </c>
      <c r="H365" s="91"/>
    </row>
    <row r="366" spans="1:12" x14ac:dyDescent="0.3">
      <c r="C366" s="80"/>
      <c r="D366" s="125"/>
      <c r="E366" s="78"/>
      <c r="F366" s="78"/>
      <c r="G366" s="117"/>
    </row>
    <row r="367" spans="1:12" ht="15" thickBot="1" x14ac:dyDescent="0.35">
      <c r="A367" s="79" t="s">
        <v>166</v>
      </c>
      <c r="C367" s="80"/>
      <c r="D367" s="125"/>
      <c r="E367" s="78"/>
      <c r="F367" s="78"/>
      <c r="G367" s="78"/>
    </row>
    <row r="368" spans="1:12" ht="15" thickTop="1" x14ac:dyDescent="0.3">
      <c r="A368" s="84" t="s">
        <v>3</v>
      </c>
      <c r="B368" s="85" t="s">
        <v>135</v>
      </c>
      <c r="C368" s="86" t="s">
        <v>5</v>
      </c>
      <c r="D368" s="87" t="s">
        <v>6</v>
      </c>
      <c r="E368" s="88" t="s">
        <v>28</v>
      </c>
      <c r="F368" s="88" t="s">
        <v>28</v>
      </c>
      <c r="G368" s="89"/>
    </row>
    <row r="369" spans="1:8" ht="15" thickBot="1" x14ac:dyDescent="0.35">
      <c r="A369" s="90"/>
      <c r="B369" s="91"/>
      <c r="C369" s="92"/>
      <c r="D369" s="93"/>
      <c r="E369" s="94" t="s">
        <v>11</v>
      </c>
      <c r="F369" s="94" t="s">
        <v>10</v>
      </c>
      <c r="G369" s="89"/>
    </row>
    <row r="370" spans="1:8" ht="15" thickTop="1" x14ac:dyDescent="0.3">
      <c r="A370" s="95"/>
      <c r="B370" s="95" t="s">
        <v>167</v>
      </c>
      <c r="C370" s="126" t="s">
        <v>168</v>
      </c>
      <c r="D370" s="127">
        <v>12</v>
      </c>
      <c r="E370" s="134">
        <f>$F$22</f>
        <v>1238.96</v>
      </c>
      <c r="F370" s="134">
        <f>ROUND(D370*E370,2)</f>
        <v>14867.52</v>
      </c>
      <c r="G370" s="100"/>
    </row>
    <row r="371" spans="1:8" x14ac:dyDescent="0.3">
      <c r="A371" s="102"/>
      <c r="B371" s="102" t="s">
        <v>169</v>
      </c>
      <c r="C371" s="108" t="s">
        <v>168</v>
      </c>
      <c r="D371" s="109">
        <v>10</v>
      </c>
      <c r="E371" s="100">
        <f>$F$39</f>
        <v>386.38</v>
      </c>
      <c r="F371" s="100">
        <f>ROUND(D371*E371,2)</f>
        <v>3863.8</v>
      </c>
      <c r="G371" s="100"/>
    </row>
    <row r="372" spans="1:8" x14ac:dyDescent="0.3">
      <c r="A372" s="114"/>
      <c r="B372" s="114"/>
      <c r="C372" s="115"/>
      <c r="D372" s="116" t="s">
        <v>170</v>
      </c>
      <c r="E372" s="117"/>
      <c r="F372" s="132"/>
      <c r="G372" s="113">
        <f>SUM(F370:F371)</f>
        <v>18731.32</v>
      </c>
      <c r="H372" s="91"/>
    </row>
    <row r="373" spans="1:8" ht="15" thickBot="1" x14ac:dyDescent="0.35">
      <c r="C373" s="80"/>
      <c r="D373" s="125"/>
      <c r="E373" s="78"/>
      <c r="F373" s="78"/>
      <c r="G373" s="117"/>
    </row>
    <row r="374" spans="1:8" ht="15.6" thickTop="1" thickBot="1" x14ac:dyDescent="0.35">
      <c r="C374" s="80"/>
      <c r="D374" s="125" t="s">
        <v>171</v>
      </c>
      <c r="E374" s="78"/>
      <c r="F374" s="78"/>
      <c r="G374" s="135">
        <f>SUM(G365:G372)</f>
        <v>107571.57</v>
      </c>
      <c r="H374" s="136"/>
    </row>
    <row r="375" spans="1:8" ht="15" thickTop="1" x14ac:dyDescent="0.3">
      <c r="C375" s="80"/>
      <c r="D375" s="125"/>
      <c r="E375" s="78"/>
      <c r="F375" s="78"/>
      <c r="G375" s="137"/>
    </row>
    <row r="376" spans="1:8" ht="15.6" x14ac:dyDescent="0.3">
      <c r="A376" s="79" t="s">
        <v>128</v>
      </c>
      <c r="B376" s="81" t="s">
        <v>201</v>
      </c>
      <c r="C376" s="80"/>
      <c r="D376" s="125"/>
      <c r="E376" s="78"/>
      <c r="F376" s="78"/>
      <c r="G376" s="78"/>
    </row>
    <row r="377" spans="1:8" ht="15.6" x14ac:dyDescent="0.3">
      <c r="A377" s="79" t="s">
        <v>130</v>
      </c>
      <c r="B377" s="81" t="s">
        <v>202</v>
      </c>
      <c r="C377" s="80"/>
      <c r="D377" s="125"/>
      <c r="E377" s="78"/>
      <c r="F377" s="78"/>
      <c r="G377" s="78"/>
    </row>
    <row r="378" spans="1:8" x14ac:dyDescent="0.3">
      <c r="C378" s="80"/>
      <c r="D378" s="125"/>
      <c r="E378" s="78"/>
      <c r="F378" s="78"/>
      <c r="G378" s="78"/>
    </row>
    <row r="379" spans="1:8" ht="15" thickBot="1" x14ac:dyDescent="0.35">
      <c r="A379" s="79" t="s">
        <v>161</v>
      </c>
      <c r="C379" s="80"/>
      <c r="D379" s="125"/>
      <c r="E379" s="78"/>
      <c r="F379" s="78"/>
      <c r="G379" s="78"/>
    </row>
    <row r="380" spans="1:8" ht="15" thickTop="1" x14ac:dyDescent="0.3">
      <c r="A380" s="84" t="s">
        <v>3</v>
      </c>
      <c r="B380" s="85" t="s">
        <v>135</v>
      </c>
      <c r="C380" s="86" t="s">
        <v>5</v>
      </c>
      <c r="D380" s="87" t="s">
        <v>6</v>
      </c>
      <c r="E380" s="88" t="s">
        <v>28</v>
      </c>
      <c r="F380" s="88" t="s">
        <v>28</v>
      </c>
      <c r="G380" s="89"/>
    </row>
    <row r="381" spans="1:8" ht="15" thickBot="1" x14ac:dyDescent="0.35">
      <c r="A381" s="90"/>
      <c r="B381" s="91"/>
      <c r="C381" s="92"/>
      <c r="D381" s="93"/>
      <c r="E381" s="94" t="s">
        <v>11</v>
      </c>
      <c r="F381" s="94" t="s">
        <v>10</v>
      </c>
      <c r="G381" s="89"/>
    </row>
    <row r="382" spans="1:8" ht="15" thickTop="1" x14ac:dyDescent="0.3">
      <c r="A382" s="95"/>
      <c r="B382" s="95" t="str">
        <f>LISTA!C10</f>
        <v>Cemento</v>
      </c>
      <c r="C382" s="126" t="str">
        <f>LISTA!E10</f>
        <v>Kg</v>
      </c>
      <c r="D382" s="127">
        <v>2.5</v>
      </c>
      <c r="E382" s="134">
        <f>LISTA!F10</f>
        <v>6.15</v>
      </c>
      <c r="F382" s="134">
        <f>ROUND(D382*E382,2)</f>
        <v>15.38</v>
      </c>
      <c r="G382" s="100"/>
    </row>
    <row r="383" spans="1:8" x14ac:dyDescent="0.3">
      <c r="A383" s="102"/>
      <c r="B383" s="102" t="str">
        <f>LISTA!C11</f>
        <v xml:space="preserve">Arena </v>
      </c>
      <c r="C383" s="108" t="str">
        <f>LISTA!E11</f>
        <v>M3</v>
      </c>
      <c r="D383" s="109">
        <v>0.08</v>
      </c>
      <c r="E383" s="100">
        <f>LISTA!F11</f>
        <v>2890</v>
      </c>
      <c r="F383" s="100">
        <f>ROUND(D383*E383,2)</f>
        <v>231.2</v>
      </c>
      <c r="G383" s="100"/>
    </row>
    <row r="384" spans="1:8" x14ac:dyDescent="0.3">
      <c r="A384" s="102"/>
      <c r="B384" s="102" t="str">
        <f>LISTA!C17</f>
        <v>Cal</v>
      </c>
      <c r="C384" s="108" t="str">
        <f>LISTA!E17</f>
        <v>Kg</v>
      </c>
      <c r="D384" s="109">
        <v>2</v>
      </c>
      <c r="E384" s="100">
        <f>LISTA!F17</f>
        <v>3.9</v>
      </c>
      <c r="F384" s="100">
        <f>ROUND(D384*E384,2)</f>
        <v>7.8</v>
      </c>
      <c r="G384" s="100"/>
    </row>
    <row r="385" spans="1:22" x14ac:dyDescent="0.3">
      <c r="A385" s="102"/>
      <c r="B385" s="102" t="str">
        <f>LISTA!C18</f>
        <v>Ladrillo Cerámico 8x18x25</v>
      </c>
      <c r="C385" s="108" t="str">
        <f>LISTA!E18</f>
        <v>Nº</v>
      </c>
      <c r="D385" s="109">
        <v>22</v>
      </c>
      <c r="E385" s="100">
        <f>LISTA!F18</f>
        <v>64.56</v>
      </c>
      <c r="F385" s="100">
        <f>ROUND(D385*E385,2)</f>
        <v>1420.32</v>
      </c>
      <c r="G385" s="100"/>
    </row>
    <row r="386" spans="1:22" x14ac:dyDescent="0.3">
      <c r="A386" s="114"/>
      <c r="B386" s="114"/>
      <c r="C386" s="115"/>
      <c r="D386" s="116" t="s">
        <v>165</v>
      </c>
      <c r="E386" s="117"/>
      <c r="F386" s="132"/>
      <c r="G386" s="113">
        <f>SUM(F382:F385)</f>
        <v>1674.6999999999998</v>
      </c>
      <c r="H386" s="91"/>
    </row>
    <row r="387" spans="1:22" x14ac:dyDescent="0.3">
      <c r="C387" s="80"/>
      <c r="D387" s="125"/>
      <c r="E387" s="78"/>
      <c r="F387" s="78"/>
      <c r="G387" s="117"/>
    </row>
    <row r="388" spans="1:22" ht="15" thickBot="1" x14ac:dyDescent="0.35">
      <c r="A388" s="79" t="s">
        <v>166</v>
      </c>
      <c r="C388" s="80"/>
      <c r="D388" s="125"/>
      <c r="E388" s="78"/>
      <c r="F388" s="78"/>
      <c r="G388" s="78"/>
    </row>
    <row r="389" spans="1:22" ht="15" thickTop="1" x14ac:dyDescent="0.3">
      <c r="A389" s="84" t="s">
        <v>3</v>
      </c>
      <c r="B389" s="85" t="s">
        <v>135</v>
      </c>
      <c r="C389" s="86" t="s">
        <v>5</v>
      </c>
      <c r="D389" s="87" t="s">
        <v>6</v>
      </c>
      <c r="E389" s="88" t="s">
        <v>28</v>
      </c>
      <c r="F389" s="88" t="s">
        <v>28</v>
      </c>
      <c r="G389" s="89"/>
    </row>
    <row r="390" spans="1:22" ht="15" thickBot="1" x14ac:dyDescent="0.35">
      <c r="A390" s="90"/>
      <c r="B390" s="91"/>
      <c r="C390" s="92"/>
      <c r="D390" s="93"/>
      <c r="E390" s="94" t="s">
        <v>11</v>
      </c>
      <c r="F390" s="94" t="s">
        <v>10</v>
      </c>
      <c r="G390" s="89"/>
    </row>
    <row r="391" spans="1:22" ht="15" thickTop="1" x14ac:dyDescent="0.3">
      <c r="A391" s="95"/>
      <c r="B391" s="95" t="s">
        <v>167</v>
      </c>
      <c r="C391" s="126" t="s">
        <v>168</v>
      </c>
      <c r="D391" s="127">
        <v>1</v>
      </c>
      <c r="E391" s="134">
        <f>$F$22</f>
        <v>1238.96</v>
      </c>
      <c r="F391" s="134">
        <f>ROUND(D391*E391,2)</f>
        <v>1238.96</v>
      </c>
      <c r="G391" s="100"/>
    </row>
    <row r="392" spans="1:22" s="76" customFormat="1" x14ac:dyDescent="0.3">
      <c r="A392" s="102"/>
      <c r="B392" s="102" t="s">
        <v>169</v>
      </c>
      <c r="C392" s="108" t="s">
        <v>168</v>
      </c>
      <c r="D392" s="109">
        <v>0.8</v>
      </c>
      <c r="E392" s="100">
        <f>$F$39</f>
        <v>386.38</v>
      </c>
      <c r="F392" s="100">
        <f>ROUND(D392*E392,2)</f>
        <v>309.10000000000002</v>
      </c>
      <c r="G392" s="100"/>
      <c r="H392" s="56"/>
      <c r="I392" s="56"/>
      <c r="J392" s="56"/>
      <c r="L392" s="77"/>
      <c r="M392" s="56"/>
      <c r="N392" s="56"/>
      <c r="O392" s="56"/>
      <c r="P392" s="56"/>
      <c r="Q392" s="56"/>
      <c r="R392" s="56"/>
      <c r="S392" s="56"/>
      <c r="T392" s="56"/>
      <c r="U392" s="56"/>
      <c r="V392" s="56"/>
    </row>
    <row r="393" spans="1:22" s="76" customFormat="1" x14ac:dyDescent="0.3">
      <c r="A393" s="114"/>
      <c r="B393" s="114"/>
      <c r="C393" s="115"/>
      <c r="D393" s="116" t="s">
        <v>170</v>
      </c>
      <c r="E393" s="117"/>
      <c r="F393" s="132"/>
      <c r="G393" s="113">
        <f>SUM(F391:F392)</f>
        <v>1548.06</v>
      </c>
      <c r="H393" s="91"/>
      <c r="I393" s="56"/>
      <c r="J393" s="56"/>
      <c r="L393" s="77"/>
      <c r="M393" s="56"/>
      <c r="N393" s="56"/>
      <c r="O393" s="56"/>
      <c r="P393" s="56"/>
      <c r="Q393" s="56"/>
      <c r="R393" s="56"/>
      <c r="S393" s="56"/>
      <c r="T393" s="56"/>
      <c r="U393" s="56"/>
      <c r="V393" s="56"/>
    </row>
    <row r="394" spans="1:22" s="76" customFormat="1" ht="15" thickBot="1" x14ac:dyDescent="0.35">
      <c r="A394" s="56"/>
      <c r="B394" s="56"/>
      <c r="C394" s="80"/>
      <c r="D394" s="125"/>
      <c r="E394" s="78"/>
      <c r="F394" s="78"/>
      <c r="G394" s="117"/>
      <c r="H394" s="56"/>
      <c r="I394" s="56"/>
      <c r="J394" s="56"/>
      <c r="L394" s="77"/>
      <c r="M394" s="56"/>
      <c r="N394" s="56"/>
      <c r="O394" s="56"/>
      <c r="P394" s="56"/>
      <c r="Q394" s="56"/>
      <c r="R394" s="56"/>
      <c r="S394" s="56"/>
      <c r="T394" s="56"/>
      <c r="U394" s="56"/>
      <c r="V394" s="56"/>
    </row>
    <row r="395" spans="1:22" s="76" customFormat="1" ht="15.6" thickTop="1" thickBot="1" x14ac:dyDescent="0.35">
      <c r="A395" s="56"/>
      <c r="B395" s="56"/>
      <c r="C395" s="80"/>
      <c r="D395" s="125" t="s">
        <v>171</v>
      </c>
      <c r="E395" s="78"/>
      <c r="F395" s="78"/>
      <c r="G395" s="135">
        <f>SUM(G386:G393)</f>
        <v>3222.7599999999998</v>
      </c>
      <c r="H395" s="136"/>
      <c r="I395" s="56"/>
      <c r="J395" s="56"/>
      <c r="L395" s="77"/>
      <c r="M395" s="56"/>
      <c r="N395" s="56"/>
      <c r="O395" s="56"/>
      <c r="P395" s="56"/>
      <c r="Q395" s="56"/>
      <c r="R395" s="56"/>
      <c r="S395" s="56"/>
      <c r="T395" s="56"/>
      <c r="U395" s="56"/>
      <c r="V395" s="56"/>
    </row>
    <row r="396" spans="1:22" s="76" customFormat="1" ht="15" thickTop="1" x14ac:dyDescent="0.3">
      <c r="A396" s="56"/>
      <c r="B396" s="56"/>
      <c r="C396" s="80"/>
      <c r="D396" s="125"/>
      <c r="E396" s="78"/>
      <c r="F396" s="78"/>
      <c r="G396" s="137"/>
      <c r="H396" s="56"/>
      <c r="I396" s="56"/>
      <c r="J396" s="56"/>
      <c r="L396" s="77"/>
      <c r="M396" s="56"/>
      <c r="N396" s="56"/>
      <c r="O396" s="56"/>
      <c r="P396" s="56"/>
      <c r="Q396" s="56"/>
      <c r="R396" s="56"/>
      <c r="S396" s="56"/>
      <c r="T396" s="56"/>
      <c r="U396" s="56"/>
      <c r="V396" s="56"/>
    </row>
    <row r="397" spans="1:22" s="76" customFormat="1" ht="15.6" x14ac:dyDescent="0.3">
      <c r="A397" s="79" t="s">
        <v>128</v>
      </c>
      <c r="B397" s="81" t="s">
        <v>203</v>
      </c>
      <c r="C397" s="80"/>
      <c r="D397" s="125"/>
      <c r="E397" s="78"/>
      <c r="F397" s="78"/>
      <c r="G397" s="78"/>
      <c r="H397" s="56"/>
      <c r="I397" s="56"/>
      <c r="J397" s="80"/>
      <c r="L397" s="77"/>
      <c r="M397" s="56"/>
      <c r="N397" s="56"/>
      <c r="O397" s="56"/>
      <c r="P397" s="56"/>
      <c r="Q397" s="56"/>
      <c r="R397" s="56"/>
      <c r="S397" s="56"/>
      <c r="T397" s="56"/>
      <c r="U397" s="56"/>
      <c r="V397" s="56"/>
    </row>
    <row r="398" spans="1:22" s="76" customFormat="1" ht="15.6" x14ac:dyDescent="0.3">
      <c r="A398" s="79" t="s">
        <v>130</v>
      </c>
      <c r="B398" s="81" t="s">
        <v>204</v>
      </c>
      <c r="C398" s="80"/>
      <c r="D398" s="125"/>
      <c r="E398" s="78"/>
      <c r="F398" s="78"/>
      <c r="G398" s="78"/>
      <c r="H398" s="56"/>
      <c r="I398" s="56"/>
      <c r="J398" s="80"/>
      <c r="L398" s="77"/>
      <c r="M398" s="56"/>
      <c r="N398" s="56"/>
      <c r="O398" s="56"/>
      <c r="P398" s="56"/>
      <c r="Q398" s="56"/>
      <c r="R398" s="56"/>
      <c r="S398" s="56"/>
      <c r="T398" s="56"/>
      <c r="U398" s="56"/>
      <c r="V398" s="56"/>
    </row>
    <row r="399" spans="1:22" s="76" customFormat="1" x14ac:dyDescent="0.3">
      <c r="A399" s="56"/>
      <c r="B399" s="56"/>
      <c r="C399" s="80"/>
      <c r="D399" s="125"/>
      <c r="E399" s="78"/>
      <c r="F399" s="78"/>
      <c r="G399" s="78"/>
      <c r="H399" s="56"/>
      <c r="I399" s="56"/>
      <c r="J399" s="80"/>
      <c r="L399" s="77"/>
      <c r="M399" s="56"/>
      <c r="N399" s="56"/>
      <c r="O399" s="56"/>
      <c r="P399" s="56"/>
      <c r="Q399" s="56"/>
      <c r="R399" s="56"/>
      <c r="S399" s="56"/>
      <c r="T399" s="56"/>
      <c r="U399" s="56"/>
      <c r="V399" s="56"/>
    </row>
    <row r="400" spans="1:22" s="76" customFormat="1" ht="15" thickBot="1" x14ac:dyDescent="0.35">
      <c r="A400" s="79" t="s">
        <v>161</v>
      </c>
      <c r="B400" s="56"/>
      <c r="C400" s="80"/>
      <c r="D400" s="125"/>
      <c r="E400" s="78"/>
      <c r="F400" s="78"/>
      <c r="G400" s="78"/>
      <c r="H400" s="56"/>
      <c r="I400" s="56"/>
      <c r="J400" s="80"/>
      <c r="L400" s="77"/>
      <c r="M400" s="56"/>
      <c r="N400" s="56"/>
      <c r="O400" s="56"/>
      <c r="P400" s="56"/>
      <c r="Q400" s="56"/>
      <c r="R400" s="56"/>
      <c r="S400" s="56"/>
      <c r="T400" s="56"/>
      <c r="U400" s="56"/>
      <c r="V400" s="56"/>
    </row>
    <row r="401" spans="1:22" s="76" customFormat="1" ht="15" thickTop="1" x14ac:dyDescent="0.3">
      <c r="A401" s="84" t="s">
        <v>3</v>
      </c>
      <c r="B401" s="85" t="s">
        <v>135</v>
      </c>
      <c r="C401" s="86" t="s">
        <v>5</v>
      </c>
      <c r="D401" s="87" t="s">
        <v>6</v>
      </c>
      <c r="E401" s="88" t="s">
        <v>28</v>
      </c>
      <c r="F401" s="88" t="s">
        <v>28</v>
      </c>
      <c r="G401" s="89"/>
      <c r="H401" s="56"/>
      <c r="I401" s="56"/>
      <c r="J401" s="80"/>
      <c r="L401" s="77"/>
      <c r="M401" s="56"/>
      <c r="N401" s="56"/>
      <c r="O401" s="56"/>
      <c r="P401" s="56"/>
      <c r="Q401" s="56"/>
      <c r="R401" s="56"/>
      <c r="S401" s="56"/>
      <c r="T401" s="56"/>
      <c r="U401" s="56"/>
      <c r="V401" s="56"/>
    </row>
    <row r="402" spans="1:22" s="76" customFormat="1" ht="15" thickBot="1" x14ac:dyDescent="0.35">
      <c r="A402" s="90"/>
      <c r="B402" s="91"/>
      <c r="C402" s="92"/>
      <c r="D402" s="93"/>
      <c r="E402" s="94" t="s">
        <v>11</v>
      </c>
      <c r="F402" s="94" t="s">
        <v>10</v>
      </c>
      <c r="G402" s="89"/>
      <c r="H402" s="56"/>
      <c r="I402" s="56"/>
      <c r="J402" s="80"/>
      <c r="L402" s="77"/>
      <c r="M402" s="56"/>
      <c r="N402" s="56"/>
      <c r="O402" s="56"/>
      <c r="P402" s="56"/>
      <c r="Q402" s="56"/>
      <c r="R402" s="56"/>
      <c r="S402" s="56"/>
      <c r="T402" s="56"/>
      <c r="U402" s="56"/>
      <c r="V402" s="56"/>
    </row>
    <row r="403" spans="1:22" s="76" customFormat="1" ht="15" thickTop="1" x14ac:dyDescent="0.3">
      <c r="A403" s="95"/>
      <c r="B403" s="95" t="str">
        <f>LISTA!$C$10</f>
        <v>Cemento</v>
      </c>
      <c r="C403" s="126" t="str">
        <f>LISTA!$E$10</f>
        <v>Kg</v>
      </c>
      <c r="D403" s="127">
        <v>3</v>
      </c>
      <c r="E403" s="134">
        <f>LISTA!$F$10</f>
        <v>6.15</v>
      </c>
      <c r="F403" s="134">
        <f>ROUND(D403*E403,2)</f>
        <v>18.45</v>
      </c>
      <c r="G403" s="100"/>
      <c r="H403" s="56"/>
      <c r="I403" s="56"/>
      <c r="J403" s="80"/>
      <c r="L403" s="77"/>
      <c r="M403" s="56"/>
      <c r="N403" s="56"/>
      <c r="O403" s="56"/>
      <c r="P403" s="56"/>
      <c r="Q403" s="56"/>
      <c r="R403" s="56"/>
      <c r="S403" s="56"/>
      <c r="T403" s="56"/>
      <c r="U403" s="56"/>
      <c r="V403" s="56"/>
    </row>
    <row r="404" spans="1:22" s="76" customFormat="1" x14ac:dyDescent="0.3">
      <c r="A404" s="102"/>
      <c r="B404" s="102" t="str">
        <f>LISTA!$C$11</f>
        <v xml:space="preserve">Arena </v>
      </c>
      <c r="C404" s="108" t="str">
        <f>LISTA!$E$11</f>
        <v>M3</v>
      </c>
      <c r="D404" s="109">
        <v>0.01</v>
      </c>
      <c r="E404" s="100">
        <f>LISTA!$F$11</f>
        <v>2890</v>
      </c>
      <c r="F404" s="100">
        <f>ROUND(D404*E404,2)</f>
        <v>28.9</v>
      </c>
      <c r="G404" s="100"/>
      <c r="H404" s="56"/>
      <c r="I404" s="56"/>
      <c r="J404" s="80"/>
      <c r="L404" s="77"/>
      <c r="M404" s="56"/>
      <c r="N404" s="56"/>
      <c r="O404" s="56"/>
      <c r="P404" s="56"/>
      <c r="Q404" s="56"/>
      <c r="R404" s="56"/>
      <c r="S404" s="56"/>
      <c r="T404" s="56"/>
      <c r="U404" s="56"/>
      <c r="V404" s="56"/>
    </row>
    <row r="405" spans="1:22" s="76" customFormat="1" x14ac:dyDescent="0.3">
      <c r="A405" s="102"/>
      <c r="B405" s="102" t="str">
        <f>LISTA!$C$17</f>
        <v>Cal</v>
      </c>
      <c r="C405" s="108" t="str">
        <f>LISTA!$E$17</f>
        <v>Kg</v>
      </c>
      <c r="D405" s="109">
        <v>1</v>
      </c>
      <c r="E405" s="100">
        <f>LISTA!$F$17</f>
        <v>3.9</v>
      </c>
      <c r="F405" s="100">
        <f>ROUND(D405*E405,2)</f>
        <v>3.9</v>
      </c>
      <c r="G405" s="100"/>
      <c r="H405" s="56"/>
      <c r="I405" s="56"/>
      <c r="J405" s="80"/>
      <c r="L405" s="77"/>
      <c r="M405" s="56"/>
      <c r="N405" s="56"/>
      <c r="O405" s="56"/>
      <c r="P405" s="56"/>
      <c r="Q405" s="56"/>
      <c r="R405" s="56"/>
      <c r="S405" s="56"/>
      <c r="T405" s="56"/>
      <c r="U405" s="56"/>
      <c r="V405" s="56"/>
    </row>
    <row r="406" spans="1:22" s="76" customFormat="1" x14ac:dyDescent="0.3">
      <c r="A406" s="102"/>
      <c r="B406" s="102" t="str">
        <f>LISTA!$C$39</f>
        <v>Ladrillos comunes p/visto</v>
      </c>
      <c r="C406" s="108" t="str">
        <f>LISTA!$E$39</f>
        <v>Nº</v>
      </c>
      <c r="D406" s="109">
        <v>18</v>
      </c>
      <c r="E406" s="100">
        <f>LISTA!$F$39</f>
        <v>180</v>
      </c>
      <c r="F406" s="100">
        <f>ROUND(D406*E406,2)</f>
        <v>3240</v>
      </c>
      <c r="G406" s="100"/>
      <c r="H406" s="56"/>
      <c r="I406" s="56"/>
      <c r="J406" s="80"/>
      <c r="L406" s="77"/>
      <c r="M406" s="56"/>
      <c r="N406" s="56"/>
      <c r="O406" s="56"/>
      <c r="P406" s="56"/>
      <c r="Q406" s="56"/>
      <c r="R406" s="56"/>
      <c r="S406" s="56"/>
      <c r="T406" s="56"/>
      <c r="U406" s="56"/>
      <c r="V406" s="56"/>
    </row>
    <row r="407" spans="1:22" s="76" customFormat="1" x14ac:dyDescent="0.3">
      <c r="A407" s="114"/>
      <c r="B407" s="114"/>
      <c r="C407" s="115"/>
      <c r="D407" s="116" t="s">
        <v>165</v>
      </c>
      <c r="E407" s="117"/>
      <c r="F407" s="132"/>
      <c r="G407" s="113">
        <f>SUM(F403:F406)</f>
        <v>3291.25</v>
      </c>
      <c r="H407" s="91"/>
      <c r="I407" s="56"/>
      <c r="J407" s="80"/>
      <c r="L407" s="77"/>
      <c r="M407" s="56"/>
      <c r="N407" s="56"/>
      <c r="O407" s="56"/>
      <c r="P407" s="56"/>
      <c r="Q407" s="56"/>
      <c r="R407" s="56"/>
      <c r="S407" s="56"/>
      <c r="T407" s="56"/>
      <c r="U407" s="56"/>
      <c r="V407" s="56"/>
    </row>
    <row r="408" spans="1:22" s="76" customFormat="1" x14ac:dyDescent="0.3">
      <c r="A408" s="56"/>
      <c r="B408" s="56"/>
      <c r="C408" s="80"/>
      <c r="D408" s="125"/>
      <c r="E408" s="78"/>
      <c r="F408" s="78"/>
      <c r="G408" s="117"/>
      <c r="H408" s="56"/>
      <c r="I408" s="56"/>
      <c r="J408" s="80"/>
      <c r="L408" s="77"/>
      <c r="M408" s="56"/>
      <c r="N408" s="56"/>
      <c r="O408" s="56"/>
      <c r="P408" s="56"/>
      <c r="Q408" s="56"/>
      <c r="R408" s="56"/>
      <c r="S408" s="56"/>
      <c r="T408" s="56"/>
      <c r="U408" s="56"/>
      <c r="V408" s="56"/>
    </row>
    <row r="409" spans="1:22" s="76" customFormat="1" ht="15" thickBot="1" x14ac:dyDescent="0.35">
      <c r="A409" s="79" t="s">
        <v>166</v>
      </c>
      <c r="B409" s="56"/>
      <c r="C409" s="80"/>
      <c r="D409" s="125"/>
      <c r="E409" s="78"/>
      <c r="F409" s="78"/>
      <c r="G409" s="78"/>
      <c r="H409" s="56"/>
      <c r="I409" s="56"/>
      <c r="J409" s="80"/>
      <c r="L409" s="77"/>
      <c r="M409" s="56"/>
      <c r="N409" s="56"/>
      <c r="O409" s="56"/>
      <c r="P409" s="56"/>
      <c r="Q409" s="56"/>
      <c r="R409" s="56"/>
      <c r="S409" s="56"/>
      <c r="T409" s="56"/>
      <c r="U409" s="56"/>
      <c r="V409" s="56"/>
    </row>
    <row r="410" spans="1:22" s="76" customFormat="1" ht="15" thickTop="1" x14ac:dyDescent="0.3">
      <c r="A410" s="84" t="s">
        <v>3</v>
      </c>
      <c r="B410" s="85" t="s">
        <v>135</v>
      </c>
      <c r="C410" s="86" t="s">
        <v>5</v>
      </c>
      <c r="D410" s="87" t="s">
        <v>6</v>
      </c>
      <c r="E410" s="88" t="s">
        <v>28</v>
      </c>
      <c r="F410" s="88" t="s">
        <v>28</v>
      </c>
      <c r="G410" s="89"/>
      <c r="H410" s="56"/>
      <c r="I410" s="56"/>
      <c r="J410" s="80"/>
      <c r="L410" s="77"/>
      <c r="M410" s="56"/>
      <c r="N410" s="56"/>
      <c r="O410" s="56"/>
      <c r="P410" s="56"/>
      <c r="Q410" s="56"/>
      <c r="R410" s="56"/>
      <c r="S410" s="56"/>
      <c r="T410" s="56"/>
      <c r="U410" s="56"/>
      <c r="V410" s="56"/>
    </row>
    <row r="411" spans="1:22" s="76" customFormat="1" ht="15" thickBot="1" x14ac:dyDescent="0.35">
      <c r="A411" s="90"/>
      <c r="B411" s="91"/>
      <c r="C411" s="92"/>
      <c r="D411" s="93"/>
      <c r="E411" s="94" t="s">
        <v>11</v>
      </c>
      <c r="F411" s="94" t="s">
        <v>10</v>
      </c>
      <c r="G411" s="89"/>
      <c r="H411" s="56"/>
      <c r="I411" s="56"/>
      <c r="J411" s="80"/>
      <c r="L411" s="77"/>
      <c r="M411" s="56"/>
      <c r="N411" s="56"/>
      <c r="O411" s="56"/>
      <c r="P411" s="56"/>
      <c r="Q411" s="56"/>
      <c r="R411" s="56"/>
      <c r="S411" s="56"/>
      <c r="T411" s="56"/>
      <c r="U411" s="56"/>
      <c r="V411" s="56"/>
    </row>
    <row r="412" spans="1:22" s="76" customFormat="1" ht="15" thickTop="1" x14ac:dyDescent="0.3">
      <c r="A412" s="95"/>
      <c r="B412" s="95" t="s">
        <v>167</v>
      </c>
      <c r="C412" s="126" t="s">
        <v>168</v>
      </c>
      <c r="D412" s="127">
        <v>1</v>
      </c>
      <c r="E412" s="134">
        <f>$F$22</f>
        <v>1238.96</v>
      </c>
      <c r="F412" s="134">
        <f>ROUND(D412*E412,2)</f>
        <v>1238.96</v>
      </c>
      <c r="G412" s="100"/>
      <c r="H412" s="56"/>
      <c r="I412" s="56"/>
      <c r="J412" s="80"/>
      <c r="L412" s="77"/>
      <c r="M412" s="56"/>
      <c r="N412" s="56"/>
      <c r="O412" s="56"/>
      <c r="P412" s="56"/>
      <c r="Q412" s="56"/>
      <c r="R412" s="56"/>
      <c r="S412" s="56"/>
      <c r="T412" s="56"/>
      <c r="U412" s="56"/>
      <c r="V412" s="56"/>
    </row>
    <row r="413" spans="1:22" s="76" customFormat="1" x14ac:dyDescent="0.3">
      <c r="A413" s="102"/>
      <c r="B413" s="102" t="s">
        <v>169</v>
      </c>
      <c r="C413" s="108" t="s">
        <v>168</v>
      </c>
      <c r="D413" s="109">
        <v>0.8</v>
      </c>
      <c r="E413" s="100">
        <f>$F$39</f>
        <v>386.38</v>
      </c>
      <c r="F413" s="100">
        <f>ROUND(D413*E413,2)</f>
        <v>309.10000000000002</v>
      </c>
      <c r="G413" s="100"/>
      <c r="H413" s="56"/>
      <c r="I413" s="56"/>
      <c r="J413" s="80"/>
      <c r="L413" s="77"/>
      <c r="M413" s="56"/>
      <c r="N413" s="56"/>
      <c r="O413" s="56"/>
      <c r="P413" s="56"/>
      <c r="Q413" s="56"/>
      <c r="R413" s="56"/>
      <c r="S413" s="56"/>
      <c r="T413" s="56"/>
      <c r="U413" s="56"/>
      <c r="V413" s="56"/>
    </row>
    <row r="414" spans="1:22" s="76" customFormat="1" x14ac:dyDescent="0.3">
      <c r="A414" s="114"/>
      <c r="B414" s="114"/>
      <c r="C414" s="115"/>
      <c r="D414" s="116" t="s">
        <v>170</v>
      </c>
      <c r="E414" s="117"/>
      <c r="F414" s="132"/>
      <c r="G414" s="113">
        <f>SUM(F412:F413)</f>
        <v>1548.06</v>
      </c>
      <c r="H414" s="91"/>
      <c r="I414" s="56"/>
      <c r="J414" s="80"/>
      <c r="L414" s="77"/>
      <c r="M414" s="56"/>
      <c r="N414" s="56"/>
      <c r="O414" s="56"/>
      <c r="P414" s="56"/>
      <c r="Q414" s="56"/>
      <c r="R414" s="56"/>
      <c r="S414" s="56"/>
      <c r="T414" s="56"/>
      <c r="U414" s="56"/>
      <c r="V414" s="56"/>
    </row>
    <row r="415" spans="1:22" s="76" customFormat="1" ht="15" thickBot="1" x14ac:dyDescent="0.35">
      <c r="A415" s="56"/>
      <c r="B415" s="56"/>
      <c r="C415" s="80"/>
      <c r="D415" s="125"/>
      <c r="E415" s="78"/>
      <c r="F415" s="78"/>
      <c r="G415" s="117"/>
      <c r="H415" s="56"/>
      <c r="I415" s="56"/>
      <c r="J415" s="80"/>
      <c r="L415" s="77"/>
      <c r="M415" s="56"/>
      <c r="N415" s="56"/>
      <c r="O415" s="56"/>
      <c r="P415" s="56"/>
      <c r="Q415" s="56"/>
      <c r="R415" s="56"/>
      <c r="S415" s="56"/>
      <c r="T415" s="56"/>
      <c r="U415" s="56"/>
      <c r="V415" s="56"/>
    </row>
    <row r="416" spans="1:22" s="76" customFormat="1" ht="15.6" thickTop="1" thickBot="1" x14ac:dyDescent="0.35">
      <c r="A416" s="56"/>
      <c r="B416" s="56"/>
      <c r="C416" s="80"/>
      <c r="D416" s="125" t="s">
        <v>171</v>
      </c>
      <c r="E416" s="78"/>
      <c r="F416" s="78"/>
      <c r="G416" s="135">
        <f>SUM(G407:G414)</f>
        <v>4839.3099999999995</v>
      </c>
      <c r="H416" s="136"/>
      <c r="I416" s="56"/>
      <c r="J416" s="80"/>
      <c r="L416" s="77"/>
      <c r="M416" s="56"/>
      <c r="N416" s="56"/>
      <c r="O416" s="56"/>
      <c r="P416" s="56"/>
      <c r="Q416" s="56"/>
      <c r="R416" s="56"/>
      <c r="S416" s="56"/>
      <c r="T416" s="56"/>
      <c r="U416" s="56"/>
      <c r="V416" s="56"/>
    </row>
    <row r="417" spans="1:22" s="76" customFormat="1" ht="15" thickTop="1" x14ac:dyDescent="0.3">
      <c r="A417" s="56"/>
      <c r="B417" s="56"/>
      <c r="C417" s="80"/>
      <c r="D417" s="125"/>
      <c r="E417" s="78"/>
      <c r="F417" s="78"/>
      <c r="G417" s="137"/>
      <c r="H417" s="56"/>
      <c r="I417" s="56"/>
      <c r="J417" s="80"/>
      <c r="L417" s="77"/>
      <c r="M417" s="56"/>
      <c r="N417" s="56"/>
      <c r="O417" s="56"/>
      <c r="P417" s="56"/>
      <c r="Q417" s="56"/>
      <c r="R417" s="56"/>
      <c r="S417" s="56"/>
      <c r="T417" s="56"/>
      <c r="U417" s="56"/>
      <c r="V417" s="56"/>
    </row>
    <row r="418" spans="1:22" s="76" customFormat="1" ht="15.6" x14ac:dyDescent="0.3">
      <c r="A418" s="79" t="s">
        <v>128</v>
      </c>
      <c r="B418" s="81" t="s">
        <v>205</v>
      </c>
      <c r="C418" s="80"/>
      <c r="D418" s="125"/>
      <c r="E418" s="78"/>
      <c r="F418" s="78"/>
      <c r="G418" s="78"/>
      <c r="H418" s="56"/>
      <c r="I418" s="56"/>
      <c r="J418" s="80"/>
      <c r="L418" s="77"/>
      <c r="M418" s="56"/>
      <c r="N418" s="56"/>
      <c r="O418" s="56"/>
      <c r="P418" s="56"/>
      <c r="Q418" s="56"/>
      <c r="R418" s="56"/>
      <c r="S418" s="56"/>
      <c r="T418" s="56"/>
      <c r="U418" s="56"/>
      <c r="V418" s="56"/>
    </row>
    <row r="419" spans="1:22" s="76" customFormat="1" ht="15.6" x14ac:dyDescent="0.3">
      <c r="A419" s="79" t="s">
        <v>130</v>
      </c>
      <c r="B419" s="81" t="s">
        <v>204</v>
      </c>
      <c r="C419" s="80"/>
      <c r="D419" s="125"/>
      <c r="E419" s="78"/>
      <c r="F419" s="78"/>
      <c r="G419" s="78"/>
      <c r="H419" s="56"/>
      <c r="I419" s="56"/>
      <c r="J419" s="80"/>
      <c r="L419" s="77"/>
      <c r="M419" s="56"/>
      <c r="N419" s="56"/>
      <c r="O419" s="56"/>
      <c r="P419" s="56"/>
      <c r="Q419" s="56"/>
      <c r="R419" s="56"/>
      <c r="S419" s="56"/>
      <c r="T419" s="56"/>
      <c r="U419" s="56"/>
      <c r="V419" s="56"/>
    </row>
    <row r="420" spans="1:22" s="76" customFormat="1" x14ac:dyDescent="0.3">
      <c r="A420" s="56"/>
      <c r="B420" s="56"/>
      <c r="C420" s="80"/>
      <c r="D420" s="125"/>
      <c r="E420" s="78"/>
      <c r="F420" s="78"/>
      <c r="G420" s="78"/>
      <c r="H420" s="56"/>
      <c r="I420" s="56"/>
      <c r="J420" s="80"/>
      <c r="L420" s="77"/>
      <c r="M420" s="56"/>
      <c r="N420" s="56"/>
      <c r="O420" s="56"/>
      <c r="P420" s="56"/>
      <c r="Q420" s="56"/>
      <c r="R420" s="56"/>
      <c r="S420" s="56"/>
      <c r="T420" s="56"/>
      <c r="U420" s="56"/>
      <c r="V420" s="56"/>
    </row>
    <row r="421" spans="1:22" s="76" customFormat="1" ht="15" thickBot="1" x14ac:dyDescent="0.35">
      <c r="A421" s="79" t="s">
        <v>161</v>
      </c>
      <c r="B421" s="56"/>
      <c r="C421" s="80"/>
      <c r="D421" s="125"/>
      <c r="E421" s="78"/>
      <c r="F421" s="78"/>
      <c r="G421" s="78"/>
      <c r="H421" s="56"/>
      <c r="I421" s="56"/>
      <c r="J421" s="80"/>
      <c r="L421" s="77"/>
      <c r="M421" s="56"/>
      <c r="N421" s="56"/>
      <c r="O421" s="56"/>
      <c r="P421" s="56"/>
      <c r="Q421" s="56"/>
      <c r="R421" s="56"/>
      <c r="S421" s="56"/>
      <c r="T421" s="56"/>
      <c r="U421" s="56"/>
      <c r="V421" s="56"/>
    </row>
    <row r="422" spans="1:22" s="76" customFormat="1" ht="15" thickTop="1" x14ac:dyDescent="0.3">
      <c r="A422" s="84" t="s">
        <v>3</v>
      </c>
      <c r="B422" s="85" t="s">
        <v>135</v>
      </c>
      <c r="C422" s="86" t="s">
        <v>5</v>
      </c>
      <c r="D422" s="87" t="s">
        <v>6</v>
      </c>
      <c r="E422" s="88" t="s">
        <v>28</v>
      </c>
      <c r="F422" s="88" t="s">
        <v>28</v>
      </c>
      <c r="G422" s="89"/>
      <c r="H422" s="56"/>
      <c r="I422" s="56"/>
      <c r="J422" s="80"/>
      <c r="L422" s="77"/>
      <c r="M422" s="56"/>
      <c r="N422" s="56"/>
      <c r="O422" s="56"/>
      <c r="P422" s="56"/>
      <c r="Q422" s="56"/>
      <c r="R422" s="56"/>
      <c r="S422" s="56"/>
      <c r="T422" s="56"/>
      <c r="U422" s="56"/>
      <c r="V422" s="56"/>
    </row>
    <row r="423" spans="1:22" s="76" customFormat="1" ht="15" thickBot="1" x14ac:dyDescent="0.35">
      <c r="A423" s="90"/>
      <c r="B423" s="91"/>
      <c r="C423" s="92"/>
      <c r="D423" s="93"/>
      <c r="E423" s="94" t="s">
        <v>11</v>
      </c>
      <c r="F423" s="94" t="s">
        <v>10</v>
      </c>
      <c r="G423" s="89"/>
      <c r="H423" s="56"/>
      <c r="I423" s="56"/>
      <c r="J423" s="80"/>
      <c r="L423" s="77"/>
      <c r="M423" s="56"/>
      <c r="N423" s="56"/>
      <c r="O423" s="56"/>
      <c r="P423" s="56"/>
      <c r="Q423" s="56"/>
      <c r="R423" s="56"/>
      <c r="S423" s="56"/>
      <c r="T423" s="56"/>
      <c r="U423" s="56"/>
      <c r="V423" s="56"/>
    </row>
    <row r="424" spans="1:22" s="76" customFormat="1" ht="15" thickTop="1" x14ac:dyDescent="0.3">
      <c r="A424" s="95"/>
      <c r="B424" s="95" t="str">
        <f>LISTA!$C$10</f>
        <v>Cemento</v>
      </c>
      <c r="C424" s="126" t="str">
        <f>LISTA!$E$10</f>
        <v>Kg</v>
      </c>
      <c r="D424" s="127">
        <v>15</v>
      </c>
      <c r="E424" s="134">
        <f>LISTA!$F$10</f>
        <v>6.15</v>
      </c>
      <c r="F424" s="134">
        <f>ROUND(D424*E424,2)</f>
        <v>92.25</v>
      </c>
      <c r="G424" s="100"/>
      <c r="H424" s="56"/>
      <c r="I424" s="56"/>
      <c r="J424" s="80"/>
      <c r="L424" s="77"/>
      <c r="M424" s="56"/>
      <c r="N424" s="56"/>
      <c r="O424" s="56"/>
      <c r="P424" s="56"/>
      <c r="Q424" s="56"/>
      <c r="R424" s="56"/>
      <c r="S424" s="56"/>
      <c r="T424" s="56"/>
      <c r="U424" s="56"/>
      <c r="V424" s="56"/>
    </row>
    <row r="425" spans="1:22" s="76" customFormat="1" x14ac:dyDescent="0.3">
      <c r="A425" s="102"/>
      <c r="B425" s="102" t="str">
        <f>LISTA!$C$11</f>
        <v xml:space="preserve">Arena </v>
      </c>
      <c r="C425" s="108" t="str">
        <f>LISTA!$E$11</f>
        <v>M3</v>
      </c>
      <c r="D425" s="109">
        <v>0.02</v>
      </c>
      <c r="E425" s="100">
        <f>LISTA!$F$11</f>
        <v>2890</v>
      </c>
      <c r="F425" s="100">
        <f>ROUND(D425*E425,2)</f>
        <v>57.8</v>
      </c>
      <c r="G425" s="100"/>
      <c r="H425" s="56"/>
      <c r="I425" s="56"/>
      <c r="J425" s="80"/>
      <c r="L425" s="77"/>
      <c r="M425" s="56"/>
      <c r="N425" s="56"/>
      <c r="O425" s="56"/>
      <c r="P425" s="56"/>
      <c r="Q425" s="56"/>
      <c r="R425" s="56"/>
      <c r="S425" s="56"/>
      <c r="T425" s="56"/>
      <c r="U425" s="56"/>
      <c r="V425" s="56"/>
    </row>
    <row r="426" spans="1:22" s="76" customFormat="1" x14ac:dyDescent="0.3">
      <c r="A426" s="102"/>
      <c r="B426" s="102" t="str">
        <f>LISTA!$C$14</f>
        <v>Mallas sold. de Fe tors</v>
      </c>
      <c r="C426" s="108" t="str">
        <f>LISTA!$E$14</f>
        <v>Kg</v>
      </c>
      <c r="D426" s="109">
        <v>1</v>
      </c>
      <c r="E426" s="100">
        <f>LISTA!$F$14</f>
        <v>695.41</v>
      </c>
      <c r="F426" s="100">
        <f>ROUND(D426*E426,2)</f>
        <v>695.41</v>
      </c>
      <c r="G426" s="100"/>
      <c r="H426" s="56"/>
      <c r="I426" s="56"/>
      <c r="J426" s="80"/>
      <c r="L426" s="77"/>
      <c r="M426" s="56"/>
      <c r="N426" s="56"/>
      <c r="O426" s="56"/>
      <c r="P426" s="56"/>
      <c r="Q426" s="56"/>
      <c r="R426" s="56"/>
      <c r="S426" s="56"/>
      <c r="T426" s="56"/>
      <c r="U426" s="56"/>
      <c r="V426" s="56"/>
    </row>
    <row r="427" spans="1:22" s="76" customFormat="1" x14ac:dyDescent="0.3">
      <c r="A427" s="102"/>
      <c r="B427" s="102" t="s">
        <v>206</v>
      </c>
      <c r="C427" s="108" t="s">
        <v>1</v>
      </c>
      <c r="D427" s="109">
        <v>1</v>
      </c>
      <c r="E427" s="100">
        <v>2.5</v>
      </c>
      <c r="F427" s="100">
        <f>ROUND(D427*E427,2)</f>
        <v>2.5</v>
      </c>
      <c r="G427" s="100"/>
      <c r="H427" s="56"/>
      <c r="I427" s="56"/>
      <c r="J427" s="80"/>
      <c r="L427" s="77"/>
      <c r="M427" s="56"/>
      <c r="N427" s="56"/>
      <c r="O427" s="56"/>
      <c r="P427" s="56"/>
      <c r="Q427" s="56"/>
      <c r="R427" s="56"/>
      <c r="S427" s="56"/>
      <c r="T427" s="56"/>
      <c r="U427" s="56"/>
      <c r="V427" s="56"/>
    </row>
    <row r="428" spans="1:22" s="76" customFormat="1" x14ac:dyDescent="0.3">
      <c r="A428" s="114"/>
      <c r="B428" s="114"/>
      <c r="C428" s="115"/>
      <c r="D428" s="116" t="s">
        <v>165</v>
      </c>
      <c r="E428" s="117"/>
      <c r="F428" s="132"/>
      <c r="G428" s="113">
        <f>SUM(F424:F427)</f>
        <v>847.96</v>
      </c>
      <c r="H428" s="91"/>
      <c r="I428" s="56"/>
      <c r="J428" s="80"/>
      <c r="L428" s="77"/>
      <c r="M428" s="56"/>
      <c r="N428" s="56"/>
      <c r="O428" s="56"/>
      <c r="P428" s="56"/>
      <c r="Q428" s="56"/>
      <c r="R428" s="56"/>
      <c r="S428" s="56"/>
      <c r="T428" s="56"/>
      <c r="U428" s="56"/>
      <c r="V428" s="56"/>
    </row>
    <row r="429" spans="1:22" s="76" customFormat="1" x14ac:dyDescent="0.3">
      <c r="A429" s="56"/>
      <c r="B429" s="56"/>
      <c r="C429" s="80"/>
      <c r="D429" s="125"/>
      <c r="E429" s="78"/>
      <c r="F429" s="78"/>
      <c r="G429" s="117"/>
      <c r="H429" s="56"/>
      <c r="I429" s="56"/>
      <c r="J429" s="80"/>
      <c r="L429" s="77"/>
      <c r="M429" s="56"/>
      <c r="N429" s="56"/>
      <c r="O429" s="56"/>
      <c r="P429" s="56"/>
      <c r="Q429" s="56"/>
      <c r="R429" s="56"/>
      <c r="S429" s="56"/>
      <c r="T429" s="56"/>
      <c r="U429" s="56"/>
      <c r="V429" s="56"/>
    </row>
    <row r="430" spans="1:22" s="76" customFormat="1" ht="15" thickBot="1" x14ac:dyDescent="0.35">
      <c r="A430" s="79" t="s">
        <v>166</v>
      </c>
      <c r="B430" s="56"/>
      <c r="C430" s="80"/>
      <c r="D430" s="125"/>
      <c r="E430" s="78"/>
      <c r="F430" s="78"/>
      <c r="G430" s="78"/>
      <c r="H430" s="56"/>
      <c r="I430" s="56"/>
      <c r="J430" s="80"/>
      <c r="L430" s="77"/>
      <c r="M430" s="56"/>
      <c r="N430" s="56"/>
      <c r="O430" s="56"/>
      <c r="P430" s="56"/>
      <c r="Q430" s="56"/>
      <c r="R430" s="56"/>
      <c r="S430" s="56"/>
      <c r="T430" s="56"/>
      <c r="U430" s="56"/>
      <c r="V430" s="56"/>
    </row>
    <row r="431" spans="1:22" s="76" customFormat="1" ht="15" thickTop="1" x14ac:dyDescent="0.3">
      <c r="A431" s="84" t="s">
        <v>3</v>
      </c>
      <c r="B431" s="85" t="s">
        <v>135</v>
      </c>
      <c r="C431" s="86" t="s">
        <v>5</v>
      </c>
      <c r="D431" s="87" t="s">
        <v>6</v>
      </c>
      <c r="E431" s="88" t="s">
        <v>28</v>
      </c>
      <c r="F431" s="88" t="s">
        <v>28</v>
      </c>
      <c r="G431" s="89"/>
      <c r="H431" s="56"/>
      <c r="I431" s="56"/>
      <c r="J431" s="80"/>
      <c r="L431" s="77"/>
      <c r="M431" s="56"/>
      <c r="N431" s="56"/>
      <c r="O431" s="56"/>
      <c r="P431" s="56"/>
      <c r="Q431" s="56"/>
      <c r="R431" s="56"/>
      <c r="S431" s="56"/>
      <c r="T431" s="56"/>
      <c r="U431" s="56"/>
      <c r="V431" s="56"/>
    </row>
    <row r="432" spans="1:22" s="76" customFormat="1" ht="15" thickBot="1" x14ac:dyDescent="0.35">
      <c r="A432" s="90"/>
      <c r="B432" s="91"/>
      <c r="C432" s="92"/>
      <c r="D432" s="93"/>
      <c r="E432" s="94" t="s">
        <v>11</v>
      </c>
      <c r="F432" s="94" t="s">
        <v>10</v>
      </c>
      <c r="G432" s="89"/>
      <c r="H432" s="56"/>
      <c r="I432" s="56"/>
      <c r="J432" s="80"/>
      <c r="L432" s="77"/>
      <c r="M432" s="56"/>
      <c r="N432" s="56"/>
      <c r="O432" s="56"/>
      <c r="P432" s="56"/>
      <c r="Q432" s="56"/>
      <c r="R432" s="56"/>
      <c r="S432" s="56"/>
      <c r="T432" s="56"/>
      <c r="U432" s="56"/>
      <c r="V432" s="56"/>
    </row>
    <row r="433" spans="1:22" s="76" customFormat="1" ht="15" thickTop="1" x14ac:dyDescent="0.3">
      <c r="A433" s="95"/>
      <c r="B433" s="95" t="s">
        <v>167</v>
      </c>
      <c r="C433" s="126" t="s">
        <v>168</v>
      </c>
      <c r="D433" s="127">
        <v>2</v>
      </c>
      <c r="E433" s="134">
        <f>$F$22</f>
        <v>1238.96</v>
      </c>
      <c r="F433" s="134">
        <f>ROUND(D433*E433,2)</f>
        <v>2477.92</v>
      </c>
      <c r="G433" s="100"/>
      <c r="H433" s="56"/>
      <c r="I433" s="56"/>
      <c r="J433" s="80"/>
      <c r="L433" s="77"/>
      <c r="M433" s="56"/>
      <c r="N433" s="56"/>
      <c r="O433" s="56"/>
      <c r="P433" s="56"/>
      <c r="Q433" s="56"/>
      <c r="R433" s="56"/>
      <c r="S433" s="56"/>
      <c r="T433" s="56"/>
      <c r="U433" s="56"/>
      <c r="V433" s="56"/>
    </row>
    <row r="434" spans="1:22" s="76" customFormat="1" x14ac:dyDescent="0.3">
      <c r="A434" s="102"/>
      <c r="B434" s="102" t="s">
        <v>169</v>
      </c>
      <c r="C434" s="108" t="s">
        <v>168</v>
      </c>
      <c r="D434" s="109">
        <v>1</v>
      </c>
      <c r="E434" s="100">
        <f>$F$39</f>
        <v>386.38</v>
      </c>
      <c r="F434" s="100">
        <f>ROUND(D434*E434,2)</f>
        <v>386.38</v>
      </c>
      <c r="G434" s="100"/>
      <c r="H434" s="56"/>
      <c r="I434" s="56"/>
      <c r="J434" s="80"/>
      <c r="L434" s="77"/>
      <c r="M434" s="56"/>
      <c r="N434" s="56"/>
      <c r="O434" s="56"/>
      <c r="P434" s="56"/>
      <c r="Q434" s="56"/>
      <c r="R434" s="56"/>
      <c r="S434" s="56"/>
      <c r="T434" s="56"/>
      <c r="U434" s="56"/>
      <c r="V434" s="56"/>
    </row>
    <row r="435" spans="1:22" s="76" customFormat="1" x14ac:dyDescent="0.3">
      <c r="A435" s="114"/>
      <c r="B435" s="114"/>
      <c r="C435" s="115"/>
      <c r="D435" s="116" t="s">
        <v>170</v>
      </c>
      <c r="E435" s="117"/>
      <c r="F435" s="132"/>
      <c r="G435" s="113">
        <f>SUM(F433:F434)</f>
        <v>2864.3</v>
      </c>
      <c r="H435" s="91"/>
      <c r="I435" s="56"/>
      <c r="J435" s="80"/>
      <c r="L435" s="77"/>
      <c r="M435" s="56"/>
      <c r="N435" s="56"/>
      <c r="O435" s="56"/>
      <c r="P435" s="56"/>
      <c r="Q435" s="56"/>
      <c r="R435" s="56"/>
      <c r="S435" s="56"/>
      <c r="T435" s="56"/>
      <c r="U435" s="56"/>
      <c r="V435" s="56"/>
    </row>
    <row r="436" spans="1:22" s="76" customFormat="1" ht="15" thickBot="1" x14ac:dyDescent="0.35">
      <c r="A436" s="56"/>
      <c r="B436" s="56"/>
      <c r="C436" s="80"/>
      <c r="D436" s="125"/>
      <c r="E436" s="78"/>
      <c r="F436" s="78"/>
      <c r="G436" s="117"/>
      <c r="H436" s="56"/>
      <c r="I436" s="56"/>
      <c r="J436" s="80"/>
      <c r="L436" s="77"/>
      <c r="M436" s="56"/>
      <c r="N436" s="56"/>
      <c r="O436" s="56"/>
      <c r="P436" s="56"/>
      <c r="Q436" s="56"/>
      <c r="R436" s="56"/>
      <c r="S436" s="56"/>
      <c r="T436" s="56"/>
      <c r="U436" s="56"/>
      <c r="V436" s="56"/>
    </row>
    <row r="437" spans="1:22" s="76" customFormat="1" ht="15.6" thickTop="1" thickBot="1" x14ac:dyDescent="0.35">
      <c r="A437" s="56"/>
      <c r="B437" s="56"/>
      <c r="C437" s="80"/>
      <c r="D437" s="125" t="s">
        <v>171</v>
      </c>
      <c r="E437" s="78"/>
      <c r="F437" s="78"/>
      <c r="G437" s="135">
        <f>SUM(G428:G435)</f>
        <v>3712.26</v>
      </c>
      <c r="H437" s="136"/>
      <c r="I437" s="56"/>
      <c r="J437" s="80"/>
      <c r="L437" s="77"/>
      <c r="M437" s="56"/>
      <c r="N437" s="56"/>
      <c r="O437" s="56"/>
      <c r="P437" s="56"/>
      <c r="Q437" s="56"/>
      <c r="R437" s="56"/>
      <c r="S437" s="56"/>
      <c r="T437" s="56"/>
      <c r="U437" s="56"/>
      <c r="V437" s="56"/>
    </row>
    <row r="438" spans="1:22" s="76" customFormat="1" ht="15" thickTop="1" x14ac:dyDescent="0.3">
      <c r="A438" s="56"/>
      <c r="B438" s="56"/>
      <c r="C438" s="80"/>
      <c r="D438" s="125"/>
      <c r="E438" s="78"/>
      <c r="F438" s="78"/>
      <c r="G438" s="137"/>
      <c r="H438" s="56"/>
      <c r="I438" s="56"/>
      <c r="J438" s="80"/>
      <c r="L438" s="77"/>
      <c r="M438" s="56"/>
      <c r="N438" s="56"/>
      <c r="O438" s="56"/>
      <c r="P438" s="56"/>
      <c r="Q438" s="56"/>
      <c r="R438" s="56"/>
      <c r="S438" s="56"/>
      <c r="T438" s="56"/>
      <c r="U438" s="56"/>
      <c r="V438" s="56"/>
    </row>
    <row r="439" spans="1:22" s="76" customFormat="1" ht="15.6" x14ac:dyDescent="0.3">
      <c r="A439" s="79" t="s">
        <v>128</v>
      </c>
      <c r="B439" s="81" t="s">
        <v>207</v>
      </c>
      <c r="C439" s="80"/>
      <c r="D439" s="125"/>
      <c r="E439" s="78"/>
      <c r="F439" s="78"/>
      <c r="G439" s="78"/>
      <c r="H439" s="56"/>
      <c r="I439" s="56"/>
      <c r="J439" s="56"/>
      <c r="L439" s="77"/>
      <c r="M439" s="56"/>
      <c r="N439" s="56"/>
      <c r="O439" s="56"/>
      <c r="P439" s="56"/>
      <c r="Q439" s="56"/>
      <c r="R439" s="56"/>
      <c r="S439" s="56"/>
      <c r="T439" s="56"/>
      <c r="U439" s="56"/>
      <c r="V439" s="56"/>
    </row>
    <row r="440" spans="1:22" ht="15.6" x14ac:dyDescent="0.3">
      <c r="A440" s="79" t="s">
        <v>130</v>
      </c>
      <c r="B440" s="81" t="s">
        <v>202</v>
      </c>
      <c r="C440" s="80"/>
      <c r="D440" s="125"/>
      <c r="E440" s="78"/>
      <c r="F440" s="78"/>
      <c r="G440" s="78"/>
    </row>
    <row r="441" spans="1:22" x14ac:dyDescent="0.3">
      <c r="C441" s="80"/>
      <c r="D441" s="125"/>
      <c r="E441" s="78"/>
      <c r="F441" s="78"/>
      <c r="G441" s="78"/>
    </row>
    <row r="442" spans="1:22" ht="15" thickBot="1" x14ac:dyDescent="0.35">
      <c r="A442" s="79" t="s">
        <v>161</v>
      </c>
      <c r="C442" s="80"/>
      <c r="D442" s="125"/>
      <c r="E442" s="78"/>
      <c r="F442" s="78"/>
      <c r="G442" s="78"/>
    </row>
    <row r="443" spans="1:22" ht="15" thickTop="1" x14ac:dyDescent="0.3">
      <c r="A443" s="84" t="s">
        <v>3</v>
      </c>
      <c r="B443" s="85" t="s">
        <v>135</v>
      </c>
      <c r="C443" s="86" t="s">
        <v>5</v>
      </c>
      <c r="D443" s="87" t="s">
        <v>6</v>
      </c>
      <c r="E443" s="88" t="s">
        <v>28</v>
      </c>
      <c r="F443" s="88" t="s">
        <v>28</v>
      </c>
      <c r="G443" s="89"/>
    </row>
    <row r="444" spans="1:22" ht="15" thickBot="1" x14ac:dyDescent="0.35">
      <c r="A444" s="90"/>
      <c r="B444" s="91"/>
      <c r="C444" s="92"/>
      <c r="D444" s="93"/>
      <c r="E444" s="94" t="s">
        <v>11</v>
      </c>
      <c r="F444" s="94" t="s">
        <v>10</v>
      </c>
      <c r="G444" s="89"/>
    </row>
    <row r="445" spans="1:22" ht="15" thickTop="1" x14ac:dyDescent="0.3">
      <c r="A445" s="95"/>
      <c r="B445" s="95" t="str">
        <f>LISTA!C10</f>
        <v>Cemento</v>
      </c>
      <c r="C445" s="126" t="str">
        <f>LISTA!E10</f>
        <v>Kg</v>
      </c>
      <c r="D445" s="127">
        <v>11</v>
      </c>
      <c r="E445" s="134">
        <f>LISTA!F10</f>
        <v>6.15</v>
      </c>
      <c r="F445" s="134">
        <f>ROUND(D445*E445,2)</f>
        <v>67.650000000000006</v>
      </c>
      <c r="G445" s="100"/>
    </row>
    <row r="446" spans="1:22" x14ac:dyDescent="0.3">
      <c r="A446" s="102"/>
      <c r="B446" s="102" t="str">
        <f>LISTA!C11</f>
        <v xml:space="preserve">Arena </v>
      </c>
      <c r="C446" s="108" t="str">
        <f>LISTA!E11</f>
        <v>M3</v>
      </c>
      <c r="D446" s="109">
        <v>0.03</v>
      </c>
      <c r="E446" s="100">
        <f>LISTA!F11</f>
        <v>2890</v>
      </c>
      <c r="F446" s="100">
        <f>ROUND(D446*E446,2)</f>
        <v>86.7</v>
      </c>
      <c r="G446" s="100"/>
    </row>
    <row r="447" spans="1:22" x14ac:dyDescent="0.3">
      <c r="A447" s="102"/>
      <c r="B447" s="102" t="str">
        <f>LISTA!C19</f>
        <v>Hidrófugo</v>
      </c>
      <c r="C447" s="108" t="str">
        <f>LISTA!E19</f>
        <v>Kg</v>
      </c>
      <c r="D447" s="109">
        <v>0.25</v>
      </c>
      <c r="E447" s="100">
        <f>LISTA!F19</f>
        <v>1662</v>
      </c>
      <c r="F447" s="100">
        <f>ROUND(D447*E447,2)</f>
        <v>415.5</v>
      </c>
      <c r="G447" s="100"/>
    </row>
    <row r="448" spans="1:22" x14ac:dyDescent="0.3">
      <c r="A448" s="102"/>
      <c r="B448" s="102" t="str">
        <f>LISTA!C21</f>
        <v>Pintura asfáltica</v>
      </c>
      <c r="C448" s="108" t="str">
        <f>LISTA!E21</f>
        <v>Kg</v>
      </c>
      <c r="D448" s="109">
        <v>0.4</v>
      </c>
      <c r="E448" s="100">
        <f>LISTA!F21</f>
        <v>1080</v>
      </c>
      <c r="F448" s="100">
        <f>ROUND(D448*E448,2)</f>
        <v>432</v>
      </c>
      <c r="G448" s="100"/>
    </row>
    <row r="449" spans="1:22" x14ac:dyDescent="0.3">
      <c r="A449" s="114"/>
      <c r="B449" s="114"/>
      <c r="C449" s="115"/>
      <c r="D449" s="116" t="s">
        <v>165</v>
      </c>
      <c r="E449" s="117"/>
      <c r="F449" s="132"/>
      <c r="G449" s="113">
        <f>SUM(F445:F448)</f>
        <v>1001.85</v>
      </c>
      <c r="H449" s="91"/>
    </row>
    <row r="450" spans="1:22" x14ac:dyDescent="0.3">
      <c r="C450" s="80"/>
      <c r="D450" s="125"/>
      <c r="E450" s="78"/>
      <c r="F450" s="78"/>
      <c r="G450" s="117"/>
    </row>
    <row r="451" spans="1:22" ht="15" thickBot="1" x14ac:dyDescent="0.35">
      <c r="A451" s="79" t="s">
        <v>166</v>
      </c>
      <c r="C451" s="80"/>
      <c r="D451" s="125"/>
      <c r="E451" s="78"/>
      <c r="F451" s="78"/>
      <c r="G451" s="78"/>
    </row>
    <row r="452" spans="1:22" ht="15" thickTop="1" x14ac:dyDescent="0.3">
      <c r="A452" s="84" t="s">
        <v>3</v>
      </c>
      <c r="B452" s="85" t="s">
        <v>135</v>
      </c>
      <c r="C452" s="86" t="s">
        <v>5</v>
      </c>
      <c r="D452" s="87" t="s">
        <v>6</v>
      </c>
      <c r="E452" s="88" t="s">
        <v>28</v>
      </c>
      <c r="F452" s="88" t="s">
        <v>28</v>
      </c>
      <c r="G452" s="89"/>
      <c r="H452" s="332" t="s">
        <v>564</v>
      </c>
    </row>
    <row r="453" spans="1:22" ht="15" thickBot="1" x14ac:dyDescent="0.35">
      <c r="A453" s="90"/>
      <c r="B453" s="91"/>
      <c r="C453" s="92"/>
      <c r="D453" s="93"/>
      <c r="E453" s="94" t="s">
        <v>11</v>
      </c>
      <c r="F453" s="94" t="s">
        <v>10</v>
      </c>
      <c r="G453" s="89"/>
    </row>
    <row r="454" spans="1:22" ht="15" thickTop="1" x14ac:dyDescent="0.3">
      <c r="A454" s="95"/>
      <c r="B454" s="95" t="s">
        <v>167</v>
      </c>
      <c r="C454" s="126" t="s">
        <v>168</v>
      </c>
      <c r="D454" s="127">
        <v>1.2</v>
      </c>
      <c r="E454" s="134">
        <f>$F$22</f>
        <v>1238.96</v>
      </c>
      <c r="F454" s="134">
        <f>ROUND(D454*E454,2)</f>
        <v>1486.75</v>
      </c>
      <c r="G454" s="100"/>
    </row>
    <row r="455" spans="1:22" x14ac:dyDescent="0.3">
      <c r="A455" s="102"/>
      <c r="B455" s="102" t="s">
        <v>169</v>
      </c>
      <c r="C455" s="108" t="s">
        <v>168</v>
      </c>
      <c r="D455" s="109">
        <v>0.8</v>
      </c>
      <c r="E455" s="100">
        <f>$F$39</f>
        <v>386.38</v>
      </c>
      <c r="F455" s="100">
        <f>ROUND(D455*E455,2)</f>
        <v>309.10000000000002</v>
      </c>
      <c r="G455" s="100"/>
    </row>
    <row r="456" spans="1:22" s="76" customFormat="1" x14ac:dyDescent="0.3">
      <c r="A456" s="114"/>
      <c r="B456" s="114"/>
      <c r="C456" s="115"/>
      <c r="D456" s="116" t="s">
        <v>170</v>
      </c>
      <c r="E456" s="117"/>
      <c r="F456" s="132"/>
      <c r="G456" s="113">
        <f>SUM(F454:F455)</f>
        <v>1795.85</v>
      </c>
      <c r="H456" s="91"/>
      <c r="I456" s="56"/>
      <c r="J456" s="56"/>
      <c r="L456" s="77"/>
      <c r="M456" s="56"/>
      <c r="N456" s="56"/>
      <c r="O456" s="56"/>
      <c r="P456" s="56"/>
      <c r="Q456" s="56"/>
      <c r="R456" s="56"/>
      <c r="S456" s="56"/>
      <c r="T456" s="56"/>
      <c r="U456" s="56"/>
      <c r="V456" s="56"/>
    </row>
    <row r="457" spans="1:22" s="76" customFormat="1" ht="15" thickBot="1" x14ac:dyDescent="0.35">
      <c r="A457" s="56"/>
      <c r="B457" s="56"/>
      <c r="C457" s="80"/>
      <c r="D457" s="125"/>
      <c r="E457" s="78"/>
      <c r="F457" s="78"/>
      <c r="G457" s="117"/>
      <c r="H457" s="56"/>
      <c r="I457" s="56"/>
      <c r="J457" s="56"/>
      <c r="L457" s="77"/>
      <c r="M457" s="56"/>
      <c r="N457" s="56"/>
      <c r="O457" s="56"/>
      <c r="P457" s="56"/>
      <c r="Q457" s="56"/>
      <c r="R457" s="56"/>
      <c r="S457" s="56"/>
      <c r="T457" s="56"/>
      <c r="U457" s="56"/>
      <c r="V457" s="56"/>
    </row>
    <row r="458" spans="1:22" s="76" customFormat="1" ht="15.6" thickTop="1" thickBot="1" x14ac:dyDescent="0.35">
      <c r="A458" s="56"/>
      <c r="B458" s="56"/>
      <c r="C458" s="80"/>
      <c r="D458" s="125" t="s">
        <v>171</v>
      </c>
      <c r="E458" s="78"/>
      <c r="F458" s="78"/>
      <c r="G458" s="135">
        <f>SUM(G449:G456)</f>
        <v>2797.7</v>
      </c>
      <c r="H458" s="136"/>
      <c r="I458" s="56"/>
      <c r="J458" s="56"/>
      <c r="L458" s="77"/>
      <c r="M458" s="56"/>
      <c r="N458" s="56"/>
      <c r="O458" s="56"/>
      <c r="P458" s="56"/>
      <c r="Q458" s="56"/>
      <c r="R458" s="56"/>
      <c r="S458" s="56"/>
      <c r="T458" s="56"/>
      <c r="U458" s="56"/>
      <c r="V458" s="56"/>
    </row>
    <row r="459" spans="1:22" s="76" customFormat="1" ht="15" thickTop="1" x14ac:dyDescent="0.3">
      <c r="A459" s="56"/>
      <c r="B459" s="56"/>
      <c r="C459" s="80"/>
      <c r="D459" s="125"/>
      <c r="E459" s="78"/>
      <c r="F459" s="78"/>
      <c r="G459" s="137"/>
      <c r="H459" s="56"/>
      <c r="I459" s="56"/>
      <c r="J459" s="56"/>
      <c r="L459" s="77"/>
      <c r="M459" s="56"/>
      <c r="N459" s="56"/>
      <c r="O459" s="56"/>
      <c r="P459" s="56"/>
      <c r="Q459" s="56"/>
      <c r="R459" s="56"/>
      <c r="S459" s="56"/>
      <c r="T459" s="56"/>
      <c r="U459" s="56"/>
      <c r="V459" s="56"/>
    </row>
    <row r="460" spans="1:22" s="76" customFormat="1" ht="15.6" x14ac:dyDescent="0.3">
      <c r="A460" s="79" t="s">
        <v>128</v>
      </c>
      <c r="B460" s="81" t="s">
        <v>208</v>
      </c>
      <c r="C460" s="80"/>
      <c r="D460" s="125"/>
      <c r="E460" s="78"/>
      <c r="F460" s="78"/>
      <c r="G460" s="78"/>
      <c r="H460" s="56"/>
      <c r="I460" s="56"/>
      <c r="J460" s="56"/>
      <c r="L460" s="77"/>
      <c r="M460" s="56"/>
      <c r="N460" s="56"/>
      <c r="O460" s="56"/>
      <c r="P460" s="56"/>
      <c r="Q460" s="56"/>
      <c r="R460" s="56"/>
      <c r="S460" s="56"/>
      <c r="T460" s="56"/>
      <c r="U460" s="56"/>
      <c r="V460" s="56"/>
    </row>
    <row r="461" spans="1:22" s="76" customFormat="1" ht="15.6" x14ac:dyDescent="0.3">
      <c r="A461" s="79" t="s">
        <v>130</v>
      </c>
      <c r="B461" s="81" t="s">
        <v>202</v>
      </c>
      <c r="C461" s="80"/>
      <c r="D461" s="125"/>
      <c r="E461" s="78"/>
      <c r="F461" s="78"/>
      <c r="G461" s="78"/>
      <c r="H461" s="56"/>
      <c r="I461" s="56"/>
      <c r="J461" s="56"/>
      <c r="L461" s="77"/>
      <c r="M461" s="56"/>
      <c r="N461" s="56"/>
      <c r="O461" s="56"/>
      <c r="P461" s="56"/>
      <c r="Q461" s="56"/>
      <c r="R461" s="56"/>
      <c r="S461" s="56"/>
      <c r="T461" s="56"/>
      <c r="U461" s="56"/>
      <c r="V461" s="56"/>
    </row>
    <row r="462" spans="1:22" s="76" customFormat="1" x14ac:dyDescent="0.3">
      <c r="A462" s="56"/>
      <c r="B462" s="56"/>
      <c r="C462" s="80"/>
      <c r="D462" s="125"/>
      <c r="E462" s="78"/>
      <c r="F462" s="78"/>
      <c r="G462" s="78"/>
      <c r="H462" s="56"/>
      <c r="I462" s="56"/>
      <c r="J462" s="56"/>
      <c r="L462" s="77"/>
      <c r="M462" s="56"/>
      <c r="N462" s="56"/>
      <c r="O462" s="56"/>
      <c r="P462" s="56"/>
      <c r="Q462" s="56"/>
      <c r="R462" s="56"/>
      <c r="S462" s="56"/>
      <c r="T462" s="56"/>
      <c r="U462" s="56"/>
      <c r="V462" s="56"/>
    </row>
    <row r="463" spans="1:22" s="76" customFormat="1" ht="15" thickBot="1" x14ac:dyDescent="0.35">
      <c r="A463" s="79" t="s">
        <v>161</v>
      </c>
      <c r="B463" s="56"/>
      <c r="C463" s="80"/>
      <c r="D463" s="125"/>
      <c r="E463" s="78"/>
      <c r="F463" s="78"/>
      <c r="G463" s="78"/>
      <c r="H463" s="56"/>
      <c r="I463" s="56"/>
      <c r="J463" s="56"/>
      <c r="L463" s="77"/>
      <c r="M463" s="56"/>
      <c r="N463" s="56"/>
      <c r="O463" s="56"/>
      <c r="P463" s="56"/>
      <c r="Q463" s="56"/>
      <c r="R463" s="56"/>
      <c r="S463" s="56"/>
      <c r="T463" s="56"/>
      <c r="U463" s="56"/>
      <c r="V463" s="56"/>
    </row>
    <row r="464" spans="1:22" s="76" customFormat="1" ht="15" thickTop="1" x14ac:dyDescent="0.3">
      <c r="A464" s="84" t="s">
        <v>3</v>
      </c>
      <c r="B464" s="85" t="s">
        <v>135</v>
      </c>
      <c r="C464" s="86" t="s">
        <v>5</v>
      </c>
      <c r="D464" s="87" t="s">
        <v>6</v>
      </c>
      <c r="E464" s="88" t="s">
        <v>28</v>
      </c>
      <c r="F464" s="88" t="s">
        <v>28</v>
      </c>
      <c r="G464" s="89"/>
      <c r="H464" s="56"/>
      <c r="I464" s="56"/>
      <c r="J464" s="56"/>
      <c r="L464" s="77"/>
      <c r="M464" s="56"/>
      <c r="N464" s="56"/>
      <c r="O464" s="56"/>
      <c r="P464" s="56"/>
      <c r="Q464" s="56"/>
      <c r="R464" s="56"/>
      <c r="S464" s="56"/>
      <c r="T464" s="56"/>
      <c r="U464" s="56"/>
      <c r="V464" s="56"/>
    </row>
    <row r="465" spans="1:22" s="76" customFormat="1" ht="15" thickBot="1" x14ac:dyDescent="0.35">
      <c r="A465" s="90"/>
      <c r="B465" s="91"/>
      <c r="C465" s="92"/>
      <c r="D465" s="93"/>
      <c r="E465" s="94" t="s">
        <v>11</v>
      </c>
      <c r="F465" s="94" t="s">
        <v>10</v>
      </c>
      <c r="G465" s="89"/>
      <c r="H465" s="56"/>
      <c r="I465" s="56"/>
      <c r="J465" s="56"/>
      <c r="L465" s="77"/>
      <c r="M465" s="56"/>
      <c r="N465" s="56"/>
      <c r="O465" s="56"/>
      <c r="P465" s="56"/>
      <c r="Q465" s="56"/>
      <c r="R465" s="56"/>
      <c r="S465" s="56"/>
      <c r="T465" s="56"/>
      <c r="U465" s="56"/>
      <c r="V465" s="56"/>
    </row>
    <row r="466" spans="1:22" s="76" customFormat="1" ht="15" thickTop="1" x14ac:dyDescent="0.3">
      <c r="A466" s="95"/>
      <c r="B466" s="95" t="str">
        <f>LISTA!$C$28</f>
        <v>Chapa AU L1 400 Nº 24 Galv</v>
      </c>
      <c r="C466" s="126" t="str">
        <f>LISTA!$E$28</f>
        <v>M2</v>
      </c>
      <c r="D466" s="127">
        <v>1</v>
      </c>
      <c r="E466" s="134">
        <f>LISTA!$F$28</f>
        <v>1114</v>
      </c>
      <c r="F466" s="134">
        <f>ROUND(D466*E466,2)</f>
        <v>1114</v>
      </c>
      <c r="G466" s="100"/>
      <c r="H466" s="56"/>
      <c r="I466" s="56"/>
      <c r="J466" s="56"/>
      <c r="L466" s="77"/>
      <c r="M466" s="56"/>
      <c r="N466" s="56"/>
      <c r="O466" s="56"/>
      <c r="P466" s="56"/>
      <c r="Q466" s="56"/>
      <c r="R466" s="56"/>
      <c r="S466" s="56"/>
      <c r="T466" s="56"/>
      <c r="U466" s="56"/>
      <c r="V466" s="56"/>
    </row>
    <row r="467" spans="1:22" s="76" customFormat="1" x14ac:dyDescent="0.3">
      <c r="A467" s="102"/>
      <c r="B467" s="102" t="str">
        <f>+LISTA!C29</f>
        <v>Correa de hierro Tipo C</v>
      </c>
      <c r="C467" s="108" t="str">
        <f>+LISTA!E29</f>
        <v>M2</v>
      </c>
      <c r="D467" s="109">
        <v>0.8</v>
      </c>
      <c r="E467" s="100">
        <f>+LISTA!F29</f>
        <v>356.83</v>
      </c>
      <c r="F467" s="100">
        <f>+D467*E467</f>
        <v>285.464</v>
      </c>
      <c r="G467" s="100"/>
      <c r="H467" s="56"/>
      <c r="I467" s="56"/>
      <c r="J467" s="56">
        <f>8/10.6</f>
        <v>0.75471698113207553</v>
      </c>
      <c r="L467" s="77"/>
      <c r="M467" s="56"/>
      <c r="N467" s="56"/>
      <c r="O467" s="56"/>
      <c r="P467" s="56"/>
      <c r="Q467" s="56"/>
      <c r="R467" s="56"/>
      <c r="S467" s="56"/>
      <c r="T467" s="56"/>
      <c r="U467" s="56"/>
      <c r="V467" s="56"/>
    </row>
    <row r="468" spans="1:22" s="76" customFormat="1" x14ac:dyDescent="0.3">
      <c r="A468" s="102"/>
      <c r="B468" s="102" t="str">
        <f>+LISTA!C30</f>
        <v>Viga metálica Tipo C</v>
      </c>
      <c r="C468" s="108" t="str">
        <f>+LISTA!E30</f>
        <v>M2</v>
      </c>
      <c r="D468" s="109">
        <v>0.25</v>
      </c>
      <c r="E468" s="100">
        <f>+LISTA!F27</f>
        <v>890</v>
      </c>
      <c r="F468" s="100">
        <f>+D468*E468</f>
        <v>222.5</v>
      </c>
      <c r="G468" s="100"/>
      <c r="H468" s="56"/>
      <c r="I468" s="56"/>
      <c r="J468" s="56">
        <f>12/5/10.6</f>
        <v>0.22641509433962265</v>
      </c>
      <c r="L468" s="77"/>
      <c r="M468" s="56"/>
      <c r="N468" s="56"/>
      <c r="O468" s="56"/>
      <c r="P468" s="56"/>
      <c r="Q468" s="56"/>
      <c r="R468" s="56"/>
      <c r="S468" s="56"/>
      <c r="T468" s="56"/>
      <c r="U468" s="56"/>
      <c r="V468" s="56"/>
    </row>
    <row r="469" spans="1:22" s="76" customFormat="1" x14ac:dyDescent="0.3">
      <c r="A469" s="102"/>
      <c r="B469" s="102" t="str">
        <f>LISTA!$C$34</f>
        <v>Gancho J P/techo</v>
      </c>
      <c r="C469" s="108" t="str">
        <f>LISTA!$E$34</f>
        <v>Un</v>
      </c>
      <c r="D469" s="109">
        <v>5</v>
      </c>
      <c r="E469" s="100">
        <f>LISTA!$F$34</f>
        <v>290</v>
      </c>
      <c r="F469" s="100">
        <f>ROUND(D469*E469,2)</f>
        <v>1450</v>
      </c>
      <c r="G469" s="100"/>
      <c r="H469" s="56"/>
      <c r="I469" s="56"/>
      <c r="J469" s="56"/>
      <c r="L469" s="77"/>
      <c r="M469" s="56"/>
      <c r="N469" s="56"/>
      <c r="O469" s="56"/>
      <c r="P469" s="56"/>
      <c r="Q469" s="56"/>
      <c r="R469" s="56"/>
      <c r="S469" s="56"/>
      <c r="T469" s="56"/>
      <c r="U469" s="56"/>
      <c r="V469" s="56"/>
    </row>
    <row r="470" spans="1:22" s="76" customFormat="1" x14ac:dyDescent="0.3">
      <c r="A470" s="114"/>
      <c r="B470" s="114"/>
      <c r="C470" s="115"/>
      <c r="D470" s="116" t="s">
        <v>165</v>
      </c>
      <c r="E470" s="117"/>
      <c r="F470" s="132"/>
      <c r="G470" s="113">
        <f>SUM(F466:F469)</f>
        <v>3071.9639999999999</v>
      </c>
      <c r="H470" s="91"/>
      <c r="I470" s="56"/>
      <c r="J470" s="56"/>
      <c r="L470" s="77"/>
      <c r="M470" s="56"/>
      <c r="N470" s="56"/>
      <c r="O470" s="56"/>
      <c r="P470" s="56"/>
      <c r="Q470" s="56"/>
      <c r="R470" s="56"/>
      <c r="S470" s="56"/>
      <c r="T470" s="56"/>
      <c r="U470" s="56"/>
      <c r="V470" s="56"/>
    </row>
    <row r="471" spans="1:22" s="76" customFormat="1" x14ac:dyDescent="0.3">
      <c r="A471" s="56"/>
      <c r="B471" s="56"/>
      <c r="C471" s="80"/>
      <c r="D471" s="125"/>
      <c r="E471" s="78"/>
      <c r="F471" s="78"/>
      <c r="G471" s="117"/>
      <c r="H471" s="56"/>
      <c r="I471" s="56"/>
      <c r="J471" s="56"/>
      <c r="L471" s="77"/>
      <c r="M471" s="56"/>
      <c r="N471" s="56"/>
      <c r="O471" s="56"/>
      <c r="P471" s="56"/>
      <c r="Q471" s="56"/>
      <c r="R471" s="56"/>
      <c r="S471" s="56"/>
      <c r="T471" s="56"/>
      <c r="U471" s="56"/>
      <c r="V471" s="56"/>
    </row>
    <row r="472" spans="1:22" ht="15" thickBot="1" x14ac:dyDescent="0.35">
      <c r="A472" s="79" t="s">
        <v>166</v>
      </c>
      <c r="C472" s="80"/>
      <c r="D472" s="125"/>
      <c r="E472" s="78"/>
      <c r="F472" s="78"/>
      <c r="G472" s="78"/>
    </row>
    <row r="473" spans="1:22" ht="15" thickTop="1" x14ac:dyDescent="0.3">
      <c r="A473" s="84" t="s">
        <v>3</v>
      </c>
      <c r="B473" s="85" t="s">
        <v>135</v>
      </c>
      <c r="C473" s="86" t="s">
        <v>5</v>
      </c>
      <c r="D473" s="87" t="s">
        <v>6</v>
      </c>
      <c r="E473" s="88" t="s">
        <v>28</v>
      </c>
      <c r="F473" s="88" t="s">
        <v>28</v>
      </c>
      <c r="G473" s="89"/>
    </row>
    <row r="474" spans="1:22" ht="15" thickBot="1" x14ac:dyDescent="0.35">
      <c r="A474" s="90"/>
      <c r="B474" s="91"/>
      <c r="C474" s="92"/>
      <c r="D474" s="93"/>
      <c r="E474" s="94" t="s">
        <v>11</v>
      </c>
      <c r="F474" s="94" t="s">
        <v>10</v>
      </c>
      <c r="G474" s="89"/>
    </row>
    <row r="475" spans="1:22" ht="15" thickTop="1" x14ac:dyDescent="0.3">
      <c r="A475" s="95"/>
      <c r="B475" s="95" t="s">
        <v>167</v>
      </c>
      <c r="C475" s="126" t="s">
        <v>168</v>
      </c>
      <c r="D475" s="127">
        <v>1.5</v>
      </c>
      <c r="E475" s="134">
        <f>$F$22</f>
        <v>1238.96</v>
      </c>
      <c r="F475" s="134">
        <f>ROUND(D475*E475,2)</f>
        <v>1858.44</v>
      </c>
      <c r="G475" s="100"/>
    </row>
    <row r="476" spans="1:22" x14ac:dyDescent="0.3">
      <c r="A476" s="102"/>
      <c r="B476" s="102" t="s">
        <v>169</v>
      </c>
      <c r="C476" s="108" t="s">
        <v>168</v>
      </c>
      <c r="D476" s="109">
        <v>2</v>
      </c>
      <c r="E476" s="100">
        <f>$F$39</f>
        <v>386.38</v>
      </c>
      <c r="F476" s="100">
        <f>ROUND(D476*E476,2)</f>
        <v>772.76</v>
      </c>
      <c r="G476" s="100"/>
    </row>
    <row r="477" spans="1:22" x14ac:dyDescent="0.3">
      <c r="A477" s="114"/>
      <c r="B477" s="114"/>
      <c r="C477" s="115"/>
      <c r="D477" s="116" t="s">
        <v>170</v>
      </c>
      <c r="E477" s="117"/>
      <c r="F477" s="132"/>
      <c r="G477" s="113">
        <f>SUM(F475:F476)</f>
        <v>2631.2</v>
      </c>
      <c r="H477" s="91"/>
    </row>
    <row r="478" spans="1:22" ht="15" thickBot="1" x14ac:dyDescent="0.35">
      <c r="C478" s="80"/>
      <c r="D478" s="125"/>
      <c r="E478" s="78"/>
      <c r="F478" s="78"/>
      <c r="G478" s="117"/>
    </row>
    <row r="479" spans="1:22" ht="15.6" thickTop="1" thickBot="1" x14ac:dyDescent="0.35">
      <c r="C479" s="80"/>
      <c r="D479" s="125" t="s">
        <v>171</v>
      </c>
      <c r="E479" s="78"/>
      <c r="F479" s="78"/>
      <c r="G479" s="135">
        <f>SUM(G470:G477)</f>
        <v>5703.1639999999998</v>
      </c>
      <c r="H479" s="136"/>
      <c r="I479" s="56">
        <v>67.33</v>
      </c>
    </row>
    <row r="480" spans="1:22" ht="15" thickTop="1" x14ac:dyDescent="0.3">
      <c r="C480" s="80"/>
      <c r="D480" s="125"/>
      <c r="E480" s="78"/>
      <c r="F480" s="78"/>
      <c r="G480" s="137"/>
    </row>
    <row r="481" spans="1:8" ht="15.6" x14ac:dyDescent="0.3">
      <c r="A481" s="79" t="s">
        <v>128</v>
      </c>
      <c r="B481" s="81" t="s">
        <v>209</v>
      </c>
      <c r="C481" s="80"/>
      <c r="D481" s="125"/>
      <c r="E481" s="78"/>
      <c r="F481" s="78"/>
      <c r="G481" s="78"/>
    </row>
    <row r="482" spans="1:8" ht="15.6" x14ac:dyDescent="0.3">
      <c r="A482" s="79" t="s">
        <v>130</v>
      </c>
      <c r="B482" s="81" t="s">
        <v>204</v>
      </c>
      <c r="C482" s="80"/>
      <c r="D482" s="125"/>
      <c r="E482" s="78"/>
      <c r="F482" s="78"/>
      <c r="G482" s="78"/>
    </row>
    <row r="483" spans="1:8" x14ac:dyDescent="0.3">
      <c r="C483" s="80"/>
      <c r="D483" s="125"/>
      <c r="E483" s="78"/>
      <c r="F483" s="78"/>
      <c r="G483" s="78"/>
    </row>
    <row r="484" spans="1:8" ht="15" thickBot="1" x14ac:dyDescent="0.35">
      <c r="A484" s="79" t="s">
        <v>161</v>
      </c>
      <c r="C484" s="80"/>
      <c r="D484" s="125"/>
      <c r="E484" s="78"/>
      <c r="F484" s="78"/>
      <c r="G484" s="78"/>
    </row>
    <row r="485" spans="1:8" ht="15" thickTop="1" x14ac:dyDescent="0.3">
      <c r="A485" s="84" t="s">
        <v>3</v>
      </c>
      <c r="B485" s="85" t="s">
        <v>135</v>
      </c>
      <c r="C485" s="86" t="s">
        <v>5</v>
      </c>
      <c r="D485" s="87" t="s">
        <v>6</v>
      </c>
      <c r="E485" s="88" t="s">
        <v>28</v>
      </c>
      <c r="F485" s="88" t="s">
        <v>28</v>
      </c>
      <c r="G485" s="89"/>
    </row>
    <row r="486" spans="1:8" ht="15" thickBot="1" x14ac:dyDescent="0.35">
      <c r="A486" s="90"/>
      <c r="B486" s="91"/>
      <c r="C486" s="92"/>
      <c r="D486" s="93"/>
      <c r="E486" s="94" t="s">
        <v>11</v>
      </c>
      <c r="F486" s="94" t="s">
        <v>10</v>
      </c>
      <c r="G486" s="89"/>
    </row>
    <row r="487" spans="1:8" ht="15" thickTop="1" x14ac:dyDescent="0.3">
      <c r="A487" s="95"/>
      <c r="B487" s="95" t="str">
        <f>LISTA!$C$32</f>
        <v>Chapa lisa Nº 24 Galv</v>
      </c>
      <c r="C487" s="126" t="str">
        <f>LISTA!$E$32</f>
        <v>M2</v>
      </c>
      <c r="D487" s="127">
        <v>1</v>
      </c>
      <c r="E487" s="134">
        <f>LISTA!$F$32</f>
        <v>6060</v>
      </c>
      <c r="F487" s="134">
        <f>ROUND(D487*E487,2)</f>
        <v>6060</v>
      </c>
      <c r="G487" s="100"/>
    </row>
    <row r="488" spans="1:8" x14ac:dyDescent="0.3">
      <c r="A488" s="102"/>
      <c r="B488" s="102" t="str">
        <f>LISTA!$C$36</f>
        <v>Plegado Chapa</v>
      </c>
      <c r="C488" s="108" t="str">
        <f>LISTA!$E$36</f>
        <v>Kg</v>
      </c>
      <c r="D488" s="109">
        <f>D487*5.5</f>
        <v>5.5</v>
      </c>
      <c r="E488" s="100">
        <f>LISTA!$F$36</f>
        <v>260</v>
      </c>
      <c r="F488" s="100">
        <f>ROUND(D488*E488,2)</f>
        <v>1430</v>
      </c>
      <c r="G488" s="100"/>
    </row>
    <row r="489" spans="1:8" x14ac:dyDescent="0.3">
      <c r="A489" s="102"/>
      <c r="B489" s="102" t="str">
        <f>LISTA!$C$37</f>
        <v>Accesorios para zingueria</v>
      </c>
      <c r="C489" s="108" t="str">
        <f>LISTA!$E$37</f>
        <v>Gl</v>
      </c>
      <c r="D489" s="109">
        <v>0.4</v>
      </c>
      <c r="E489" s="100">
        <f>LISTA!$F$37</f>
        <v>800</v>
      </c>
      <c r="F489" s="100">
        <f>ROUND(D489*E489,2)</f>
        <v>320</v>
      </c>
      <c r="G489" s="100"/>
    </row>
    <row r="490" spans="1:8" x14ac:dyDescent="0.3">
      <c r="A490" s="114"/>
      <c r="B490" s="114"/>
      <c r="C490" s="115"/>
      <c r="D490" s="116" t="s">
        <v>165</v>
      </c>
      <c r="E490" s="117"/>
      <c r="F490" s="132"/>
      <c r="G490" s="113">
        <f>SUM(F487:F489)</f>
        <v>7810</v>
      </c>
      <c r="H490" s="91"/>
    </row>
    <row r="491" spans="1:8" x14ac:dyDescent="0.3">
      <c r="C491" s="80"/>
      <c r="D491" s="125"/>
      <c r="E491" s="78"/>
      <c r="F491" s="78"/>
      <c r="G491" s="117"/>
    </row>
    <row r="492" spans="1:8" ht="15" thickBot="1" x14ac:dyDescent="0.35">
      <c r="A492" s="79" t="s">
        <v>166</v>
      </c>
      <c r="C492" s="80"/>
      <c r="D492" s="125"/>
      <c r="E492" s="78"/>
      <c r="F492" s="78"/>
      <c r="G492" s="78"/>
    </row>
    <row r="493" spans="1:8" ht="15" thickTop="1" x14ac:dyDescent="0.3">
      <c r="A493" s="84" t="s">
        <v>3</v>
      </c>
      <c r="B493" s="85" t="s">
        <v>135</v>
      </c>
      <c r="C493" s="86" t="s">
        <v>5</v>
      </c>
      <c r="D493" s="87" t="s">
        <v>6</v>
      </c>
      <c r="E493" s="88" t="s">
        <v>28</v>
      </c>
      <c r="F493" s="88" t="s">
        <v>28</v>
      </c>
      <c r="G493" s="89"/>
    </row>
    <row r="494" spans="1:8" ht="15" thickBot="1" x14ac:dyDescent="0.35">
      <c r="A494" s="90"/>
      <c r="B494" s="91"/>
      <c r="C494" s="92"/>
      <c r="D494" s="93"/>
      <c r="E494" s="94" t="s">
        <v>11</v>
      </c>
      <c r="F494" s="94" t="s">
        <v>10</v>
      </c>
      <c r="G494" s="89"/>
    </row>
    <row r="495" spans="1:8" ht="15" thickTop="1" x14ac:dyDescent="0.3">
      <c r="A495" s="95"/>
      <c r="B495" s="95" t="s">
        <v>167</v>
      </c>
      <c r="C495" s="126" t="s">
        <v>168</v>
      </c>
      <c r="D495" s="127">
        <v>2</v>
      </c>
      <c r="E495" s="134">
        <f>$F$22</f>
        <v>1238.96</v>
      </c>
      <c r="F495" s="134">
        <f>ROUND(D495*E495,2)</f>
        <v>2477.92</v>
      </c>
      <c r="G495" s="100"/>
    </row>
    <row r="496" spans="1:8" x14ac:dyDescent="0.3">
      <c r="A496" s="102"/>
      <c r="B496" s="102" t="s">
        <v>169</v>
      </c>
      <c r="C496" s="108" t="s">
        <v>168</v>
      </c>
      <c r="D496" s="109">
        <v>1</v>
      </c>
      <c r="E496" s="100">
        <f>$F$39</f>
        <v>386.38</v>
      </c>
      <c r="F496" s="100">
        <f>ROUND(D496*E496,2)</f>
        <v>386.38</v>
      </c>
      <c r="G496" s="100"/>
    </row>
    <row r="497" spans="1:8" x14ac:dyDescent="0.3">
      <c r="A497" s="114"/>
      <c r="B497" s="114"/>
      <c r="C497" s="115"/>
      <c r="D497" s="116" t="s">
        <v>170</v>
      </c>
      <c r="E497" s="117"/>
      <c r="F497" s="132"/>
      <c r="G497" s="113">
        <f>SUM(F495:F496)</f>
        <v>2864.3</v>
      </c>
      <c r="H497" s="91"/>
    </row>
    <row r="498" spans="1:8" ht="15" thickBot="1" x14ac:dyDescent="0.35">
      <c r="C498" s="80"/>
      <c r="D498" s="125"/>
      <c r="E498" s="78"/>
      <c r="F498" s="78"/>
      <c r="G498" s="117"/>
    </row>
    <row r="499" spans="1:8" ht="15.6" thickTop="1" thickBot="1" x14ac:dyDescent="0.35">
      <c r="C499" s="80"/>
      <c r="D499" s="125" t="s">
        <v>171</v>
      </c>
      <c r="E499" s="78"/>
      <c r="F499" s="78"/>
      <c r="G499" s="135">
        <f>SUM(G490:G497)</f>
        <v>10674.3</v>
      </c>
      <c r="H499" s="136"/>
    </row>
    <row r="500" spans="1:8" ht="15" thickTop="1" x14ac:dyDescent="0.3">
      <c r="C500" s="80"/>
      <c r="D500" s="125"/>
      <c r="E500" s="78"/>
      <c r="F500" s="78"/>
      <c r="G500" s="137"/>
    </row>
    <row r="501" spans="1:8" ht="15.6" x14ac:dyDescent="0.3">
      <c r="A501" s="79" t="s">
        <v>128</v>
      </c>
      <c r="B501" s="81" t="s">
        <v>210</v>
      </c>
      <c r="C501" s="80"/>
      <c r="D501" s="125"/>
      <c r="E501" s="78"/>
      <c r="F501" s="78"/>
      <c r="G501" s="78"/>
    </row>
    <row r="502" spans="1:8" ht="15.6" x14ac:dyDescent="0.3">
      <c r="A502" s="79" t="s">
        <v>130</v>
      </c>
      <c r="B502" s="81" t="s">
        <v>204</v>
      </c>
      <c r="C502" s="80"/>
      <c r="D502" s="125"/>
      <c r="E502" s="78"/>
      <c r="F502" s="78"/>
      <c r="G502" s="78"/>
    </row>
    <row r="503" spans="1:8" x14ac:dyDescent="0.3">
      <c r="C503" s="80"/>
      <c r="D503" s="125"/>
      <c r="E503" s="78"/>
      <c r="F503" s="78"/>
      <c r="G503" s="78"/>
    </row>
    <row r="504" spans="1:8" ht="15" thickBot="1" x14ac:dyDescent="0.35">
      <c r="A504" s="79" t="s">
        <v>161</v>
      </c>
      <c r="C504" s="80"/>
      <c r="D504" s="125"/>
      <c r="E504" s="78"/>
      <c r="F504" s="78"/>
      <c r="G504" s="78"/>
    </row>
    <row r="505" spans="1:8" ht="15" thickTop="1" x14ac:dyDescent="0.3">
      <c r="A505" s="84" t="s">
        <v>3</v>
      </c>
      <c r="B505" s="85" t="s">
        <v>135</v>
      </c>
      <c r="C505" s="86" t="s">
        <v>5</v>
      </c>
      <c r="D505" s="87" t="s">
        <v>6</v>
      </c>
      <c r="E505" s="88" t="s">
        <v>28</v>
      </c>
      <c r="F505" s="88" t="s">
        <v>28</v>
      </c>
      <c r="G505" s="89"/>
    </row>
    <row r="506" spans="1:8" ht="15" thickBot="1" x14ac:dyDescent="0.35">
      <c r="A506" s="90"/>
      <c r="B506" s="91"/>
      <c r="C506" s="92"/>
      <c r="D506" s="93"/>
      <c r="E506" s="94" t="s">
        <v>11</v>
      </c>
      <c r="F506" s="94" t="s">
        <v>10</v>
      </c>
      <c r="G506" s="89"/>
    </row>
    <row r="507" spans="1:8" ht="15" thickTop="1" x14ac:dyDescent="0.3">
      <c r="A507" s="95"/>
      <c r="B507" s="95" t="str">
        <f>+LISTA!C32</f>
        <v>Chapa lisa Nº 24 Galv</v>
      </c>
      <c r="C507" s="126" t="str">
        <f>LISTA!$E$32</f>
        <v>M2</v>
      </c>
      <c r="D507" s="127">
        <v>1.2</v>
      </c>
      <c r="E507" s="134">
        <f>LISTA!$F$32</f>
        <v>6060</v>
      </c>
      <c r="F507" s="134">
        <f>ROUND(D507*E507,2)</f>
        <v>7272</v>
      </c>
      <c r="G507" s="100"/>
    </row>
    <row r="508" spans="1:8" x14ac:dyDescent="0.3">
      <c r="A508" s="102"/>
      <c r="B508" s="102" t="str">
        <f>LISTA!$C$37</f>
        <v>Accesorios para zingueria</v>
      </c>
      <c r="C508" s="108" t="str">
        <f>LISTA!$E$37</f>
        <v>Gl</v>
      </c>
      <c r="D508" s="109">
        <v>0.34</v>
      </c>
      <c r="E508" s="100">
        <f>LISTA!$F$37</f>
        <v>800</v>
      </c>
      <c r="F508" s="100">
        <f>ROUND(D508*E508,2)+0.03</f>
        <v>272.02999999999997</v>
      </c>
      <c r="G508" s="100"/>
    </row>
    <row r="509" spans="1:8" x14ac:dyDescent="0.3">
      <c r="A509" s="114"/>
      <c r="B509" s="114"/>
      <c r="C509" s="115"/>
      <c r="D509" s="116" t="s">
        <v>165</v>
      </c>
      <c r="E509" s="117"/>
      <c r="F509" s="132"/>
      <c r="G509" s="113">
        <f>SUM(F507:F508)</f>
        <v>7544.03</v>
      </c>
      <c r="H509" s="91"/>
    </row>
    <row r="510" spans="1:8" x14ac:dyDescent="0.3">
      <c r="C510" s="80"/>
      <c r="D510" s="125"/>
      <c r="E510" s="78"/>
      <c r="F510" s="78"/>
      <c r="G510" s="117"/>
    </row>
    <row r="511" spans="1:8" ht="15" thickBot="1" x14ac:dyDescent="0.35">
      <c r="A511" s="79" t="s">
        <v>166</v>
      </c>
      <c r="C511" s="80"/>
      <c r="D511" s="125"/>
      <c r="E511" s="78"/>
      <c r="F511" s="78"/>
      <c r="G511" s="78"/>
    </row>
    <row r="512" spans="1:8" ht="15" thickTop="1" x14ac:dyDescent="0.3">
      <c r="A512" s="84" t="s">
        <v>3</v>
      </c>
      <c r="B512" s="85" t="s">
        <v>135</v>
      </c>
      <c r="C512" s="86" t="s">
        <v>5</v>
      </c>
      <c r="D512" s="87" t="s">
        <v>6</v>
      </c>
      <c r="E512" s="88" t="s">
        <v>28</v>
      </c>
      <c r="F512" s="88" t="s">
        <v>28</v>
      </c>
      <c r="G512" s="89"/>
    </row>
    <row r="513" spans="1:9" ht="15" thickBot="1" x14ac:dyDescent="0.35">
      <c r="A513" s="90"/>
      <c r="B513" s="91"/>
      <c r="C513" s="92"/>
      <c r="D513" s="93"/>
      <c r="E513" s="94" t="s">
        <v>11</v>
      </c>
      <c r="F513" s="94" t="s">
        <v>10</v>
      </c>
      <c r="G513" s="89"/>
    </row>
    <row r="514" spans="1:9" ht="15" thickTop="1" x14ac:dyDescent="0.3">
      <c r="A514" s="95"/>
      <c r="B514" s="95" t="s">
        <v>167</v>
      </c>
      <c r="C514" s="126" t="s">
        <v>168</v>
      </c>
      <c r="D514" s="127">
        <v>2.5</v>
      </c>
      <c r="E514" s="134">
        <f>$F$22</f>
        <v>1238.96</v>
      </c>
      <c r="F514" s="134">
        <f>ROUND(D514*E514,2)</f>
        <v>3097.4</v>
      </c>
      <c r="G514" s="100"/>
    </row>
    <row r="515" spans="1:9" x14ac:dyDescent="0.3">
      <c r="A515" s="102"/>
      <c r="B515" s="102" t="s">
        <v>169</v>
      </c>
      <c r="C515" s="108" t="s">
        <v>168</v>
      </c>
      <c r="D515" s="109">
        <v>1.5</v>
      </c>
      <c r="E515" s="100">
        <f>$F$39</f>
        <v>386.38</v>
      </c>
      <c r="F515" s="100">
        <f>ROUND(D515*E515,2)</f>
        <v>579.57000000000005</v>
      </c>
      <c r="G515" s="100"/>
    </row>
    <row r="516" spans="1:9" x14ac:dyDescent="0.3">
      <c r="A516" s="114"/>
      <c r="B516" s="114"/>
      <c r="C516" s="115"/>
      <c r="D516" s="116" t="s">
        <v>170</v>
      </c>
      <c r="E516" s="117"/>
      <c r="F516" s="132"/>
      <c r="G516" s="113">
        <f>SUM(F514:F515)</f>
        <v>3676.9700000000003</v>
      </c>
      <c r="H516" s="91"/>
    </row>
    <row r="517" spans="1:9" ht="15" thickBot="1" x14ac:dyDescent="0.35">
      <c r="C517" s="80"/>
      <c r="D517" s="125"/>
      <c r="E517" s="78"/>
      <c r="F517" s="78"/>
      <c r="G517" s="117"/>
    </row>
    <row r="518" spans="1:9" ht="15.6" thickTop="1" thickBot="1" x14ac:dyDescent="0.35">
      <c r="C518" s="80"/>
      <c r="D518" s="125" t="s">
        <v>171</v>
      </c>
      <c r="E518" s="78"/>
      <c r="F518" s="78"/>
      <c r="G518" s="135">
        <f>SUM(G509:G516)</f>
        <v>11221</v>
      </c>
      <c r="H518" s="136"/>
      <c r="I518" s="56">
        <v>44.93</v>
      </c>
    </row>
    <row r="519" spans="1:9" ht="15" thickTop="1" x14ac:dyDescent="0.3">
      <c r="C519" s="80"/>
      <c r="D519" s="125"/>
      <c r="E519" s="78"/>
      <c r="F519" s="78"/>
      <c r="G519" s="137"/>
    </row>
    <row r="520" spans="1:9" ht="15.6" x14ac:dyDescent="0.3">
      <c r="A520" s="79" t="s">
        <v>128</v>
      </c>
      <c r="B520" s="81" t="s">
        <v>211</v>
      </c>
      <c r="C520" s="80"/>
      <c r="D520" s="125"/>
      <c r="E520" s="78"/>
      <c r="F520" s="78"/>
      <c r="G520" s="78"/>
    </row>
    <row r="521" spans="1:9" ht="15.6" x14ac:dyDescent="0.3">
      <c r="A521" s="79" t="s">
        <v>130</v>
      </c>
      <c r="B521" s="81" t="s">
        <v>204</v>
      </c>
      <c r="C521" s="80"/>
      <c r="D521" s="125"/>
      <c r="E521" s="78"/>
      <c r="F521" s="78"/>
      <c r="G521" s="78"/>
    </row>
    <row r="522" spans="1:9" x14ac:dyDescent="0.3">
      <c r="C522" s="80"/>
      <c r="D522" s="125"/>
      <c r="E522" s="78"/>
      <c r="F522" s="78"/>
      <c r="G522" s="78"/>
    </row>
    <row r="523" spans="1:9" ht="15" thickBot="1" x14ac:dyDescent="0.35">
      <c r="A523" s="79" t="s">
        <v>161</v>
      </c>
      <c r="C523" s="80"/>
      <c r="D523" s="125"/>
      <c r="E523" s="78"/>
      <c r="F523" s="78"/>
      <c r="G523" s="78"/>
    </row>
    <row r="524" spans="1:9" ht="15" thickTop="1" x14ac:dyDescent="0.3">
      <c r="A524" s="84" t="s">
        <v>3</v>
      </c>
      <c r="B524" s="85" t="s">
        <v>135</v>
      </c>
      <c r="C524" s="86" t="s">
        <v>5</v>
      </c>
      <c r="D524" s="87" t="s">
        <v>6</v>
      </c>
      <c r="E524" s="88" t="s">
        <v>28</v>
      </c>
      <c r="F524" s="88" t="s">
        <v>28</v>
      </c>
      <c r="G524" s="89"/>
    </row>
    <row r="525" spans="1:9" ht="15" thickBot="1" x14ac:dyDescent="0.35">
      <c r="A525" s="90"/>
      <c r="B525" s="91"/>
      <c r="C525" s="92"/>
      <c r="D525" s="93"/>
      <c r="E525" s="94" t="s">
        <v>11</v>
      </c>
      <c r="F525" s="94" t="s">
        <v>10</v>
      </c>
      <c r="G525" s="89"/>
    </row>
    <row r="526" spans="1:9" ht="15" thickTop="1" x14ac:dyDescent="0.3">
      <c r="A526" s="95"/>
      <c r="B526" s="95" t="str">
        <f>LISTA!$C$32</f>
        <v>Chapa lisa Nº 24 Galv</v>
      </c>
      <c r="C526" s="126" t="str">
        <f>LISTA!$E$32</f>
        <v>M2</v>
      </c>
      <c r="D526" s="127">
        <v>0.5</v>
      </c>
      <c r="E526" s="134">
        <f>LISTA!$F$32</f>
        <v>6060</v>
      </c>
      <c r="F526" s="134">
        <f>ROUND(D526*E526,2)</f>
        <v>3030</v>
      </c>
      <c r="G526" s="100"/>
    </row>
    <row r="527" spans="1:9" x14ac:dyDescent="0.3">
      <c r="A527" s="102"/>
      <c r="B527" s="102" t="str">
        <f>LISTA!$C$36</f>
        <v>Plegado Chapa</v>
      </c>
      <c r="C527" s="108" t="str">
        <f>LISTA!$E$36</f>
        <v>Kg</v>
      </c>
      <c r="D527" s="109">
        <f>D526*5.5</f>
        <v>2.75</v>
      </c>
      <c r="E527" s="100">
        <f>LISTA!$F$36</f>
        <v>260</v>
      </c>
      <c r="F527" s="100">
        <f>ROUND(D527*E527,2)</f>
        <v>715</v>
      </c>
      <c r="G527" s="100"/>
    </row>
    <row r="528" spans="1:9" x14ac:dyDescent="0.3">
      <c r="A528" s="102"/>
      <c r="B528" s="102" t="str">
        <f>LISTA!$C$37</f>
        <v>Accesorios para zingueria</v>
      </c>
      <c r="C528" s="108" t="str">
        <f>LISTA!$E$37</f>
        <v>Gl</v>
      </c>
      <c r="D528" s="109">
        <v>0.5</v>
      </c>
      <c r="E528" s="100">
        <f>LISTA!$F$37</f>
        <v>800</v>
      </c>
      <c r="F528" s="100">
        <f>ROUND(D528*E528,2)</f>
        <v>400</v>
      </c>
      <c r="G528" s="100"/>
    </row>
    <row r="529" spans="1:9" x14ac:dyDescent="0.3">
      <c r="A529" s="114"/>
      <c r="B529" s="114"/>
      <c r="C529" s="115"/>
      <c r="D529" s="116" t="s">
        <v>165</v>
      </c>
      <c r="E529" s="117"/>
      <c r="F529" s="132"/>
      <c r="G529" s="113">
        <f>SUM(F526:F528)</f>
        <v>4145</v>
      </c>
      <c r="H529" s="91"/>
    </row>
    <row r="530" spans="1:9" x14ac:dyDescent="0.3">
      <c r="C530" s="80"/>
      <c r="D530" s="125"/>
      <c r="E530" s="78"/>
      <c r="F530" s="78"/>
      <c r="G530" s="117"/>
    </row>
    <row r="531" spans="1:9" ht="15" thickBot="1" x14ac:dyDescent="0.35">
      <c r="A531" s="79" t="s">
        <v>166</v>
      </c>
      <c r="C531" s="80"/>
      <c r="D531" s="125"/>
      <c r="E531" s="78"/>
      <c r="F531" s="78"/>
      <c r="G531" s="78"/>
    </row>
    <row r="532" spans="1:9" ht="15" thickTop="1" x14ac:dyDescent="0.3">
      <c r="A532" s="84" t="s">
        <v>3</v>
      </c>
      <c r="B532" s="85" t="s">
        <v>135</v>
      </c>
      <c r="C532" s="86" t="s">
        <v>5</v>
      </c>
      <c r="D532" s="87" t="s">
        <v>6</v>
      </c>
      <c r="E532" s="88" t="s">
        <v>28</v>
      </c>
      <c r="F532" s="88" t="s">
        <v>28</v>
      </c>
      <c r="G532" s="89"/>
    </row>
    <row r="533" spans="1:9" ht="15" thickBot="1" x14ac:dyDescent="0.35">
      <c r="A533" s="90"/>
      <c r="B533" s="91"/>
      <c r="C533" s="92"/>
      <c r="D533" s="93"/>
      <c r="E533" s="94" t="s">
        <v>11</v>
      </c>
      <c r="F533" s="94" t="s">
        <v>10</v>
      </c>
      <c r="G533" s="89"/>
    </row>
    <row r="534" spans="1:9" ht="15" thickTop="1" x14ac:dyDescent="0.3">
      <c r="A534" s="95"/>
      <c r="B534" s="95" t="s">
        <v>167</v>
      </c>
      <c r="C534" s="126" t="s">
        <v>168</v>
      </c>
      <c r="D534" s="127">
        <v>1.77</v>
      </c>
      <c r="E534" s="134">
        <f>$F$22</f>
        <v>1238.96</v>
      </c>
      <c r="F534" s="134">
        <f>ROUND(D534*E534,2)-0.02</f>
        <v>2192.94</v>
      </c>
      <c r="G534" s="100"/>
    </row>
    <row r="535" spans="1:9" x14ac:dyDescent="0.3">
      <c r="A535" s="102"/>
      <c r="B535" s="102" t="s">
        <v>169</v>
      </c>
      <c r="C535" s="108" t="s">
        <v>168</v>
      </c>
      <c r="D535" s="109">
        <v>1</v>
      </c>
      <c r="E535" s="100">
        <f>$F$39</f>
        <v>386.38</v>
      </c>
      <c r="F535" s="100">
        <f>ROUND(D535*E535,2)</f>
        <v>386.38</v>
      </c>
      <c r="G535" s="100"/>
    </row>
    <row r="536" spans="1:9" x14ac:dyDescent="0.3">
      <c r="A536" s="114"/>
      <c r="B536" s="114"/>
      <c r="C536" s="115"/>
      <c r="D536" s="116" t="s">
        <v>170</v>
      </c>
      <c r="E536" s="117"/>
      <c r="F536" s="132"/>
      <c r="G536" s="113">
        <f>SUM(F534:F535)</f>
        <v>2579.3200000000002</v>
      </c>
      <c r="H536" s="91"/>
    </row>
    <row r="537" spans="1:9" ht="15" thickBot="1" x14ac:dyDescent="0.35">
      <c r="C537" s="80"/>
      <c r="D537" s="125"/>
      <c r="E537" s="78"/>
      <c r="F537" s="78"/>
      <c r="G537" s="117"/>
    </row>
    <row r="538" spans="1:9" ht="15.6" thickTop="1" thickBot="1" x14ac:dyDescent="0.35">
      <c r="C538" s="80"/>
      <c r="D538" s="125" t="s">
        <v>171</v>
      </c>
      <c r="E538" s="78"/>
      <c r="F538" s="78"/>
      <c r="G538" s="135">
        <f>SUM(G529:G536)</f>
        <v>6724.32</v>
      </c>
      <c r="H538" s="136"/>
      <c r="I538" s="56">
        <v>34.01</v>
      </c>
    </row>
    <row r="539" spans="1:9" ht="15" thickTop="1" x14ac:dyDescent="0.3">
      <c r="C539" s="80"/>
      <c r="D539" s="125"/>
      <c r="E539" s="78"/>
      <c r="F539" s="78"/>
      <c r="G539" s="137"/>
    </row>
    <row r="540" spans="1:9" ht="15.6" x14ac:dyDescent="0.3">
      <c r="A540" s="79" t="s">
        <v>128</v>
      </c>
      <c r="B540" s="81" t="s">
        <v>212</v>
      </c>
      <c r="C540" s="80"/>
      <c r="D540" s="125"/>
      <c r="E540" s="78"/>
      <c r="F540" s="78"/>
      <c r="G540" s="78"/>
    </row>
    <row r="541" spans="1:9" ht="15.6" x14ac:dyDescent="0.3">
      <c r="A541" s="79" t="s">
        <v>130</v>
      </c>
      <c r="B541" s="81" t="s">
        <v>202</v>
      </c>
      <c r="C541" s="80"/>
      <c r="D541" s="125"/>
      <c r="E541" s="78"/>
      <c r="F541" s="78"/>
      <c r="G541" s="78"/>
    </row>
    <row r="542" spans="1:9" x14ac:dyDescent="0.3">
      <c r="C542" s="80"/>
      <c r="D542" s="125"/>
      <c r="E542" s="78"/>
      <c r="F542" s="78"/>
      <c r="G542" s="78"/>
    </row>
    <row r="543" spans="1:9" ht="15" thickBot="1" x14ac:dyDescent="0.35">
      <c r="A543" s="79" t="s">
        <v>161</v>
      </c>
      <c r="C543" s="80"/>
      <c r="D543" s="125"/>
      <c r="E543" s="78"/>
      <c r="F543" s="78"/>
      <c r="G543" s="78"/>
    </row>
    <row r="544" spans="1:9" ht="15" thickTop="1" x14ac:dyDescent="0.3">
      <c r="A544" s="84" t="s">
        <v>3</v>
      </c>
      <c r="B544" s="85" t="s">
        <v>135</v>
      </c>
      <c r="C544" s="86" t="s">
        <v>5</v>
      </c>
      <c r="D544" s="87" t="s">
        <v>6</v>
      </c>
      <c r="E544" s="88" t="s">
        <v>28</v>
      </c>
      <c r="F544" s="88" t="s">
        <v>28</v>
      </c>
      <c r="G544" s="89"/>
    </row>
    <row r="545" spans="1:8" ht="15" thickBot="1" x14ac:dyDescent="0.35">
      <c r="A545" s="90"/>
      <c r="B545" s="91"/>
      <c r="C545" s="92"/>
      <c r="D545" s="93"/>
      <c r="E545" s="94" t="s">
        <v>11</v>
      </c>
      <c r="F545" s="94" t="s">
        <v>10</v>
      </c>
      <c r="G545" s="89"/>
    </row>
    <row r="546" spans="1:8" ht="15" thickTop="1" x14ac:dyDescent="0.3">
      <c r="A546" s="95"/>
      <c r="B546" s="95" t="str">
        <f>LISTA!$C$10</f>
        <v>Cemento</v>
      </c>
      <c r="C546" s="126" t="str">
        <f>LISTA!$E$10</f>
        <v>Kg</v>
      </c>
      <c r="D546" s="127">
        <f>1.6+1.7</f>
        <v>3.3</v>
      </c>
      <c r="E546" s="146">
        <f>LISTA!$F$10</f>
        <v>6.15</v>
      </c>
      <c r="F546" s="134">
        <f>ROUND(D546*E546,2)</f>
        <v>20.3</v>
      </c>
      <c r="G546" s="100"/>
    </row>
    <row r="547" spans="1:8" x14ac:dyDescent="0.3">
      <c r="A547" s="102"/>
      <c r="B547" s="102" t="str">
        <f>LISTA!$C$11</f>
        <v xml:space="preserve">Arena </v>
      </c>
      <c r="C547" s="108" t="str">
        <f>LISTA!$E$11</f>
        <v>M3</v>
      </c>
      <c r="D547" s="109">
        <v>0.03</v>
      </c>
      <c r="E547" s="147">
        <f>LISTA!$F$11</f>
        <v>2890</v>
      </c>
      <c r="F547" s="100">
        <f>ROUND(D547*E547,2)</f>
        <v>86.7</v>
      </c>
      <c r="G547" s="100"/>
    </row>
    <row r="548" spans="1:8" x14ac:dyDescent="0.3">
      <c r="A548" s="102"/>
      <c r="B548" s="102" t="str">
        <f>LISTA!$C$17</f>
        <v>Cal</v>
      </c>
      <c r="C548" s="108" t="str">
        <f>LISTA!$E$17</f>
        <v>Kg</v>
      </c>
      <c r="D548" s="109">
        <f>2.1+3.1</f>
        <v>5.2</v>
      </c>
      <c r="E548" s="147">
        <f>LISTA!$F$17</f>
        <v>3.9</v>
      </c>
      <c r="F548" s="100">
        <f>ROUND(D548*E548,2)</f>
        <v>20.28</v>
      </c>
      <c r="G548" s="100"/>
    </row>
    <row r="549" spans="1:8" x14ac:dyDescent="0.3">
      <c r="A549" s="114"/>
      <c r="B549" s="114"/>
      <c r="C549" s="149"/>
      <c r="D549" s="116" t="s">
        <v>165</v>
      </c>
      <c r="E549" s="117"/>
      <c r="F549" s="132"/>
      <c r="G549" s="113">
        <f>SUM(F546:F548)</f>
        <v>127.28</v>
      </c>
      <c r="H549" s="91"/>
    </row>
    <row r="550" spans="1:8" x14ac:dyDescent="0.3">
      <c r="C550" s="80"/>
      <c r="D550" s="125"/>
      <c r="E550" s="78"/>
      <c r="F550" s="78"/>
      <c r="G550" s="117"/>
    </row>
    <row r="551" spans="1:8" ht="15" thickBot="1" x14ac:dyDescent="0.35">
      <c r="A551" s="79" t="s">
        <v>166</v>
      </c>
      <c r="C551" s="80"/>
      <c r="D551" s="125"/>
      <c r="E551" s="78"/>
      <c r="F551" s="78"/>
      <c r="G551" s="78"/>
    </row>
    <row r="552" spans="1:8" ht="15" thickTop="1" x14ac:dyDescent="0.3">
      <c r="A552" s="84" t="s">
        <v>3</v>
      </c>
      <c r="B552" s="85" t="s">
        <v>135</v>
      </c>
      <c r="C552" s="86" t="s">
        <v>5</v>
      </c>
      <c r="D552" s="87" t="s">
        <v>6</v>
      </c>
      <c r="E552" s="88" t="s">
        <v>28</v>
      </c>
      <c r="F552" s="88" t="s">
        <v>28</v>
      </c>
      <c r="G552" s="89"/>
    </row>
    <row r="553" spans="1:8" ht="15" thickBot="1" x14ac:dyDescent="0.35">
      <c r="A553" s="90"/>
      <c r="B553" s="91"/>
      <c r="C553" s="92"/>
      <c r="D553" s="93"/>
      <c r="E553" s="94" t="s">
        <v>11</v>
      </c>
      <c r="F553" s="94" t="s">
        <v>10</v>
      </c>
      <c r="G553" s="89"/>
    </row>
    <row r="554" spans="1:8" ht="15" thickTop="1" x14ac:dyDescent="0.3">
      <c r="A554" s="95"/>
      <c r="B554" s="95" t="s">
        <v>167</v>
      </c>
      <c r="C554" s="126" t="s">
        <v>168</v>
      </c>
      <c r="D554" s="127">
        <v>0.8</v>
      </c>
      <c r="E554" s="134">
        <f>$F$22</f>
        <v>1238.96</v>
      </c>
      <c r="F554" s="134">
        <f>ROUND(D554*E554,2)</f>
        <v>991.17</v>
      </c>
      <c r="G554" s="100"/>
    </row>
    <row r="555" spans="1:8" x14ac:dyDescent="0.3">
      <c r="A555" s="102"/>
      <c r="B555" s="102" t="s">
        <v>169</v>
      </c>
      <c r="C555" s="108" t="s">
        <v>168</v>
      </c>
      <c r="D555" s="109">
        <v>0.45</v>
      </c>
      <c r="E555" s="100">
        <f>$F$39</f>
        <v>386.38</v>
      </c>
      <c r="F555" s="100">
        <f>ROUND(D555*E555,2)</f>
        <v>173.87</v>
      </c>
      <c r="G555" s="100"/>
    </row>
    <row r="556" spans="1:8" x14ac:dyDescent="0.3">
      <c r="A556" s="114"/>
      <c r="B556" s="114"/>
      <c r="C556" s="115"/>
      <c r="D556" s="116" t="s">
        <v>170</v>
      </c>
      <c r="E556" s="117"/>
      <c r="F556" s="132"/>
      <c r="G556" s="113">
        <f>SUM(F554:F555)</f>
        <v>1165.04</v>
      </c>
      <c r="H556" s="91"/>
    </row>
    <row r="557" spans="1:8" ht="15" thickBot="1" x14ac:dyDescent="0.35">
      <c r="C557" s="80"/>
      <c r="D557" s="125"/>
      <c r="E557" s="78"/>
      <c r="F557" s="78"/>
      <c r="G557" s="117"/>
    </row>
    <row r="558" spans="1:8" ht="15.6" thickTop="1" thickBot="1" x14ac:dyDescent="0.35">
      <c r="C558" s="80"/>
      <c r="D558" s="125" t="s">
        <v>171</v>
      </c>
      <c r="E558" s="78"/>
      <c r="F558" s="78"/>
      <c r="G558" s="135">
        <f>SUM(G549:G556)</f>
        <v>1292.32</v>
      </c>
      <c r="H558" s="136"/>
    </row>
    <row r="559" spans="1:8" ht="15" thickTop="1" x14ac:dyDescent="0.3">
      <c r="C559" s="80"/>
      <c r="D559" s="125"/>
      <c r="E559" s="78"/>
      <c r="F559" s="78"/>
      <c r="G559" s="137"/>
    </row>
    <row r="560" spans="1:8" x14ac:dyDescent="0.3">
      <c r="C560" s="80"/>
      <c r="D560" s="125"/>
      <c r="E560" s="78"/>
      <c r="F560" s="78"/>
      <c r="G560" s="78"/>
    </row>
    <row r="561" spans="1:8" ht="15.6" x14ac:dyDescent="0.3">
      <c r="A561" s="79" t="s">
        <v>128</v>
      </c>
      <c r="B561" s="81" t="s">
        <v>213</v>
      </c>
      <c r="C561" s="80"/>
      <c r="D561" s="125"/>
      <c r="E561" s="78"/>
      <c r="F561" s="78"/>
      <c r="G561" s="78"/>
    </row>
    <row r="562" spans="1:8" ht="15.6" x14ac:dyDescent="0.3">
      <c r="A562" s="79" t="s">
        <v>130</v>
      </c>
      <c r="B562" s="81" t="s">
        <v>202</v>
      </c>
      <c r="C562" s="80"/>
      <c r="D562" s="125"/>
      <c r="E562" s="78"/>
      <c r="F562" s="78"/>
      <c r="G562" s="78"/>
    </row>
    <row r="563" spans="1:8" x14ac:dyDescent="0.3">
      <c r="C563" s="80"/>
      <c r="D563" s="125"/>
      <c r="E563" s="78"/>
      <c r="F563" s="78"/>
      <c r="G563" s="78"/>
    </row>
    <row r="564" spans="1:8" ht="15" thickBot="1" x14ac:dyDescent="0.35">
      <c r="A564" s="79" t="s">
        <v>161</v>
      </c>
      <c r="C564" s="80"/>
      <c r="D564" s="125"/>
      <c r="E564" s="78"/>
      <c r="F564" s="78"/>
      <c r="G564" s="78"/>
    </row>
    <row r="565" spans="1:8" ht="15" thickTop="1" x14ac:dyDescent="0.3">
      <c r="A565" s="84" t="s">
        <v>3</v>
      </c>
      <c r="B565" s="85" t="s">
        <v>135</v>
      </c>
      <c r="C565" s="86" t="s">
        <v>5</v>
      </c>
      <c r="D565" s="87" t="s">
        <v>6</v>
      </c>
      <c r="E565" s="88" t="s">
        <v>28</v>
      </c>
      <c r="F565" s="88" t="s">
        <v>28</v>
      </c>
      <c r="G565" s="89"/>
    </row>
    <row r="566" spans="1:8" ht="15" thickBot="1" x14ac:dyDescent="0.35">
      <c r="A566" s="90"/>
      <c r="B566" s="91"/>
      <c r="C566" s="92"/>
      <c r="D566" s="93"/>
      <c r="E566" s="94" t="s">
        <v>11</v>
      </c>
      <c r="F566" s="94" t="s">
        <v>10</v>
      </c>
      <c r="G566" s="89"/>
    </row>
    <row r="567" spans="1:8" ht="15" thickTop="1" x14ac:dyDescent="0.3">
      <c r="A567" s="95"/>
      <c r="B567" s="95" t="str">
        <f>LISTA!$C$10</f>
        <v>Cemento</v>
      </c>
      <c r="C567" s="126" t="str">
        <f>LISTA!$E$10</f>
        <v>Kg</v>
      </c>
      <c r="D567" s="127">
        <f>1.7+1.6</f>
        <v>3.3</v>
      </c>
      <c r="E567" s="128">
        <f>LISTA!$F$10</f>
        <v>6.15</v>
      </c>
      <c r="F567" s="134">
        <f>ROUND(D567*E567,2)</f>
        <v>20.3</v>
      </c>
      <c r="G567" s="100"/>
    </row>
    <row r="568" spans="1:8" x14ac:dyDescent="0.3">
      <c r="A568" s="102"/>
      <c r="B568" s="102" t="str">
        <f>LISTA!$C$11</f>
        <v xml:space="preserve">Arena </v>
      </c>
      <c r="C568" s="108" t="str">
        <f>LISTA!$E$11</f>
        <v>M3</v>
      </c>
      <c r="D568" s="109">
        <f>0.014+0.006</f>
        <v>0.02</v>
      </c>
      <c r="E568" s="130">
        <f>LISTA!$F$11</f>
        <v>2890</v>
      </c>
      <c r="F568" s="100">
        <f>ROUND(D568*E568,2)</f>
        <v>57.8</v>
      </c>
      <c r="G568" s="100"/>
    </row>
    <row r="569" spans="1:8" x14ac:dyDescent="0.3">
      <c r="A569" s="102"/>
      <c r="B569" s="102" t="str">
        <f>LISTA!$C$17</f>
        <v>Cal</v>
      </c>
      <c r="C569" s="108" t="str">
        <f>LISTA!$E$17</f>
        <v>Kg</v>
      </c>
      <c r="D569" s="109">
        <v>2.1</v>
      </c>
      <c r="E569" s="130">
        <f>LISTA!$F$17</f>
        <v>3.9</v>
      </c>
      <c r="F569" s="100">
        <f>ROUND(D569*E569,2)</f>
        <v>8.19</v>
      </c>
      <c r="G569" s="100"/>
    </row>
    <row r="570" spans="1:8" x14ac:dyDescent="0.3">
      <c r="A570" s="102"/>
      <c r="B570" s="102" t="str">
        <f>LISTA!$C$19</f>
        <v>Hidrófugo</v>
      </c>
      <c r="C570" s="108" t="str">
        <f>LISTA!$E$19</f>
        <v>Kg</v>
      </c>
      <c r="D570" s="109">
        <v>0.25</v>
      </c>
      <c r="E570" s="130">
        <f>LISTA!$F$19</f>
        <v>1662</v>
      </c>
      <c r="F570" s="100">
        <f>ROUND(D570*E570,2)</f>
        <v>415.5</v>
      </c>
      <c r="G570" s="100"/>
    </row>
    <row r="571" spans="1:8" x14ac:dyDescent="0.3">
      <c r="A571" s="114"/>
      <c r="B571" s="114"/>
      <c r="C571" s="115"/>
      <c r="D571" s="116" t="s">
        <v>165</v>
      </c>
      <c r="E571" s="117"/>
      <c r="F571" s="132"/>
      <c r="G571" s="113">
        <f>SUM(F567:F570)</f>
        <v>501.78999999999996</v>
      </c>
      <c r="H571" s="91"/>
    </row>
    <row r="572" spans="1:8" x14ac:dyDescent="0.3">
      <c r="C572" s="80"/>
      <c r="D572" s="125"/>
      <c r="E572" s="78"/>
      <c r="F572" s="78"/>
      <c r="G572" s="117"/>
    </row>
    <row r="573" spans="1:8" ht="15" thickBot="1" x14ac:dyDescent="0.35">
      <c r="A573" s="79" t="s">
        <v>166</v>
      </c>
      <c r="C573" s="80"/>
      <c r="D573" s="125"/>
      <c r="E573" s="78"/>
      <c r="F573" s="78"/>
      <c r="G573" s="78"/>
    </row>
    <row r="574" spans="1:8" ht="15" thickTop="1" x14ac:dyDescent="0.3">
      <c r="A574" s="84" t="s">
        <v>3</v>
      </c>
      <c r="B574" s="85" t="s">
        <v>135</v>
      </c>
      <c r="C574" s="86" t="s">
        <v>5</v>
      </c>
      <c r="D574" s="87" t="s">
        <v>6</v>
      </c>
      <c r="E574" s="88" t="s">
        <v>28</v>
      </c>
      <c r="F574" s="88" t="s">
        <v>28</v>
      </c>
      <c r="G574" s="89"/>
    </row>
    <row r="575" spans="1:8" ht="15" thickBot="1" x14ac:dyDescent="0.35">
      <c r="A575" s="90"/>
      <c r="B575" s="91"/>
      <c r="C575" s="92"/>
      <c r="D575" s="93"/>
      <c r="E575" s="94" t="s">
        <v>11</v>
      </c>
      <c r="F575" s="94" t="s">
        <v>10</v>
      </c>
      <c r="G575" s="89"/>
    </row>
    <row r="576" spans="1:8" ht="15" thickTop="1" x14ac:dyDescent="0.3">
      <c r="A576" s="95"/>
      <c r="B576" s="95" t="s">
        <v>167</v>
      </c>
      <c r="C576" s="126" t="s">
        <v>168</v>
      </c>
      <c r="D576" s="127">
        <v>0.6</v>
      </c>
      <c r="E576" s="134">
        <f>$F$22</f>
        <v>1238.96</v>
      </c>
      <c r="F576" s="134">
        <f>ROUND(D576*E576,2)</f>
        <v>743.38</v>
      </c>
      <c r="G576" s="100"/>
    </row>
    <row r="577" spans="1:8" x14ac:dyDescent="0.3">
      <c r="A577" s="102"/>
      <c r="B577" s="102" t="s">
        <v>169</v>
      </c>
      <c r="C577" s="108" t="s">
        <v>168</v>
      </c>
      <c r="D577" s="109">
        <v>0.35</v>
      </c>
      <c r="E577" s="100">
        <f>$F$39</f>
        <v>386.38</v>
      </c>
      <c r="F577" s="100">
        <f>ROUND(D577*E577,2)</f>
        <v>135.22999999999999</v>
      </c>
      <c r="G577" s="100"/>
    </row>
    <row r="578" spans="1:8" x14ac:dyDescent="0.3">
      <c r="A578" s="114"/>
      <c r="B578" s="114"/>
      <c r="C578" s="115"/>
      <c r="D578" s="116" t="s">
        <v>170</v>
      </c>
      <c r="E578" s="117"/>
      <c r="F578" s="132"/>
      <c r="G578" s="113">
        <f>SUM(F576:F577)</f>
        <v>878.61</v>
      </c>
      <c r="H578" s="91"/>
    </row>
    <row r="579" spans="1:8" ht="15" thickBot="1" x14ac:dyDescent="0.35">
      <c r="C579" s="80"/>
      <c r="D579" s="125"/>
      <c r="E579" s="78"/>
      <c r="F579" s="78"/>
      <c r="G579" s="117"/>
    </row>
    <row r="580" spans="1:8" ht="15.6" thickTop="1" thickBot="1" x14ac:dyDescent="0.35">
      <c r="C580" s="80"/>
      <c r="D580" s="125" t="s">
        <v>171</v>
      </c>
      <c r="E580" s="78"/>
      <c r="F580" s="78"/>
      <c r="G580" s="135">
        <f>SUM(G571:G578)</f>
        <v>1380.4</v>
      </c>
      <c r="H580" s="136"/>
    </row>
    <row r="581" spans="1:8" ht="15" thickTop="1" x14ac:dyDescent="0.3">
      <c r="C581" s="80"/>
      <c r="D581" s="125"/>
      <c r="E581" s="78"/>
      <c r="F581" s="78"/>
      <c r="G581" s="137"/>
    </row>
    <row r="583" spans="1:8" ht="15.6" x14ac:dyDescent="0.3">
      <c r="A583" s="79" t="s">
        <v>128</v>
      </c>
      <c r="B583" s="81" t="s">
        <v>214</v>
      </c>
      <c r="C583" s="80"/>
      <c r="D583" s="125"/>
      <c r="E583" s="78"/>
      <c r="F583" s="78"/>
      <c r="G583" s="78"/>
    </row>
    <row r="584" spans="1:8" ht="15.6" x14ac:dyDescent="0.3">
      <c r="A584" s="79" t="s">
        <v>130</v>
      </c>
      <c r="B584" s="81" t="s">
        <v>202</v>
      </c>
      <c r="C584" s="80"/>
      <c r="D584" s="125"/>
      <c r="E584" s="78"/>
      <c r="F584" s="78"/>
      <c r="G584" s="78"/>
    </row>
    <row r="585" spans="1:8" x14ac:dyDescent="0.3">
      <c r="C585" s="80"/>
      <c r="D585" s="125"/>
      <c r="E585" s="78"/>
      <c r="F585" s="78"/>
      <c r="G585" s="78"/>
    </row>
    <row r="586" spans="1:8" ht="15" thickBot="1" x14ac:dyDescent="0.35">
      <c r="A586" s="79" t="s">
        <v>161</v>
      </c>
      <c r="C586" s="80"/>
      <c r="D586" s="125"/>
      <c r="E586" s="78"/>
      <c r="F586" s="78"/>
      <c r="G586" s="78"/>
    </row>
    <row r="587" spans="1:8" ht="15" thickTop="1" x14ac:dyDescent="0.3">
      <c r="A587" s="84" t="s">
        <v>3</v>
      </c>
      <c r="B587" s="85" t="s">
        <v>135</v>
      </c>
      <c r="C587" s="86" t="s">
        <v>5</v>
      </c>
      <c r="D587" s="87" t="s">
        <v>6</v>
      </c>
      <c r="E587" s="88" t="s">
        <v>28</v>
      </c>
      <c r="F587" s="88" t="s">
        <v>28</v>
      </c>
      <c r="G587" s="89"/>
    </row>
    <row r="588" spans="1:8" ht="15" thickBot="1" x14ac:dyDescent="0.35">
      <c r="A588" s="90"/>
      <c r="B588" s="91"/>
      <c r="C588" s="92"/>
      <c r="D588" s="93"/>
      <c r="E588" s="94" t="s">
        <v>11</v>
      </c>
      <c r="F588" s="94" t="s">
        <v>10</v>
      </c>
      <c r="G588" s="89"/>
    </row>
    <row r="589" spans="1:8" ht="15" thickTop="1" x14ac:dyDescent="0.3">
      <c r="A589" s="95"/>
      <c r="B589" s="95" t="str">
        <f>LISTA!C$10</f>
        <v>Cemento</v>
      </c>
      <c r="C589" s="126" t="str">
        <f>LISTA!E$10</f>
        <v>Kg</v>
      </c>
      <c r="D589" s="127">
        <v>4.4000000000000004</v>
      </c>
      <c r="E589" s="134">
        <f>LISTA!F$10</f>
        <v>6.15</v>
      </c>
      <c r="F589" s="134">
        <f>ROUND(D589*E589,2)</f>
        <v>27.06</v>
      </c>
      <c r="G589" s="100"/>
    </row>
    <row r="590" spans="1:8" x14ac:dyDescent="0.3">
      <c r="A590" s="102"/>
      <c r="B590" s="102" t="str">
        <f>LISTA!C$11</f>
        <v xml:space="preserve">Arena </v>
      </c>
      <c r="C590" s="108" t="str">
        <f>LISTA!E$11</f>
        <v>M3</v>
      </c>
      <c r="D590" s="109">
        <v>0.04</v>
      </c>
      <c r="E590" s="100">
        <f>LISTA!F$11</f>
        <v>2890</v>
      </c>
      <c r="F590" s="100">
        <f>ROUND(D590*E590,2)</f>
        <v>115.6</v>
      </c>
      <c r="G590" s="100"/>
    </row>
    <row r="591" spans="1:8" x14ac:dyDescent="0.3">
      <c r="A591" s="102"/>
      <c r="B591" s="102" t="str">
        <f>LISTA!C$17</f>
        <v>Cal</v>
      </c>
      <c r="C591" s="108" t="str">
        <f>LISTA!E$17</f>
        <v>Kg</v>
      </c>
      <c r="D591" s="109">
        <v>3.1</v>
      </c>
      <c r="E591" s="100">
        <f>LISTA!F$17</f>
        <v>3.9</v>
      </c>
      <c r="F591" s="100">
        <f>ROUND(D591*E591,2)</f>
        <v>12.09</v>
      </c>
      <c r="G591" s="100"/>
    </row>
    <row r="592" spans="1:8" x14ac:dyDescent="0.3">
      <c r="A592" s="102"/>
      <c r="B592" s="102" t="str">
        <f>LISTA!C$19</f>
        <v>Hidrófugo</v>
      </c>
      <c r="C592" s="108" t="str">
        <f>LISTA!E$19</f>
        <v>Kg</v>
      </c>
      <c r="D592" s="109">
        <v>3.1</v>
      </c>
      <c r="E592" s="100">
        <f>LISTA!F$19</f>
        <v>1662</v>
      </c>
      <c r="F592" s="100">
        <f>ROUND(D592*E592,2)</f>
        <v>5152.2</v>
      </c>
      <c r="G592" s="100"/>
    </row>
    <row r="593" spans="1:8" x14ac:dyDescent="0.3">
      <c r="A593" s="114"/>
      <c r="B593" s="114"/>
      <c r="C593" s="115"/>
      <c r="D593" s="116" t="s">
        <v>165</v>
      </c>
      <c r="E593" s="117"/>
      <c r="F593" s="132"/>
      <c r="G593" s="113">
        <f>SUM(F589:F592)</f>
        <v>5306.95</v>
      </c>
      <c r="H593" s="91"/>
    </row>
    <row r="594" spans="1:8" x14ac:dyDescent="0.3">
      <c r="C594" s="80"/>
      <c r="D594" s="125"/>
      <c r="E594" s="78"/>
      <c r="F594" s="78"/>
      <c r="G594" s="117"/>
    </row>
    <row r="595" spans="1:8" ht="15" thickBot="1" x14ac:dyDescent="0.35">
      <c r="A595" s="79" t="s">
        <v>166</v>
      </c>
      <c r="C595" s="80"/>
      <c r="D595" s="125"/>
      <c r="E595" s="78"/>
      <c r="F595" s="78"/>
      <c r="G595" s="78"/>
    </row>
    <row r="596" spans="1:8" ht="15" thickTop="1" x14ac:dyDescent="0.3">
      <c r="A596" s="84" t="s">
        <v>3</v>
      </c>
      <c r="B596" s="85" t="s">
        <v>135</v>
      </c>
      <c r="C596" s="86" t="s">
        <v>5</v>
      </c>
      <c r="D596" s="87" t="s">
        <v>6</v>
      </c>
      <c r="E596" s="88" t="s">
        <v>28</v>
      </c>
      <c r="F596" s="88" t="s">
        <v>28</v>
      </c>
      <c r="G596" s="89"/>
    </row>
    <row r="597" spans="1:8" ht="15" thickBot="1" x14ac:dyDescent="0.35">
      <c r="A597" s="90"/>
      <c r="B597" s="91"/>
      <c r="C597" s="92"/>
      <c r="D597" s="93"/>
      <c r="E597" s="94" t="s">
        <v>11</v>
      </c>
      <c r="F597" s="94" t="s">
        <v>10</v>
      </c>
      <c r="G597" s="89"/>
    </row>
    <row r="598" spans="1:8" ht="15" thickTop="1" x14ac:dyDescent="0.3">
      <c r="A598" s="95"/>
      <c r="B598" s="95" t="s">
        <v>167</v>
      </c>
      <c r="C598" s="126" t="s">
        <v>168</v>
      </c>
      <c r="D598" s="127">
        <v>1.6</v>
      </c>
      <c r="E598" s="134">
        <f>$F$22</f>
        <v>1238.96</v>
      </c>
      <c r="F598" s="134">
        <f>ROUND(D598*E598,2)</f>
        <v>1982.34</v>
      </c>
      <c r="G598" s="100"/>
    </row>
    <row r="599" spans="1:8" x14ac:dyDescent="0.3">
      <c r="A599" s="102"/>
      <c r="B599" s="102" t="s">
        <v>169</v>
      </c>
      <c r="C599" s="108" t="s">
        <v>168</v>
      </c>
      <c r="D599" s="109">
        <v>0.9</v>
      </c>
      <c r="E599" s="100">
        <f>$F$39</f>
        <v>386.38</v>
      </c>
      <c r="F599" s="100">
        <f>ROUND(D599*E599,2)</f>
        <v>347.74</v>
      </c>
      <c r="G599" s="100"/>
    </row>
    <row r="600" spans="1:8" x14ac:dyDescent="0.3">
      <c r="A600" s="114"/>
      <c r="B600" s="114"/>
      <c r="C600" s="115"/>
      <c r="D600" s="116" t="s">
        <v>170</v>
      </c>
      <c r="E600" s="117"/>
      <c r="F600" s="132"/>
      <c r="G600" s="113">
        <f>SUM(F598:F599)</f>
        <v>2330.08</v>
      </c>
      <c r="H600" s="91"/>
    </row>
    <row r="601" spans="1:8" ht="15" thickBot="1" x14ac:dyDescent="0.35">
      <c r="C601" s="80"/>
      <c r="D601" s="125"/>
      <c r="E601" s="78"/>
      <c r="F601" s="78"/>
      <c r="G601" s="117"/>
    </row>
    <row r="602" spans="1:8" ht="15.6" thickTop="1" thickBot="1" x14ac:dyDescent="0.35">
      <c r="C602" s="80"/>
      <c r="D602" s="125" t="s">
        <v>171</v>
      </c>
      <c r="E602" s="78"/>
      <c r="F602" s="78"/>
      <c r="G602" s="135">
        <f>SUM(G593:G600)</f>
        <v>7637.03</v>
      </c>
      <c r="H602" s="136"/>
    </row>
    <row r="603" spans="1:8" ht="15" thickTop="1" x14ac:dyDescent="0.3">
      <c r="C603" s="80"/>
      <c r="D603" s="125"/>
      <c r="E603" s="78"/>
      <c r="F603" s="78"/>
      <c r="G603" s="137"/>
    </row>
    <row r="604" spans="1:8" ht="15.6" x14ac:dyDescent="0.3">
      <c r="A604" s="79" t="s">
        <v>128</v>
      </c>
      <c r="B604" s="81" t="s">
        <v>215</v>
      </c>
      <c r="C604" s="80"/>
      <c r="D604" s="125"/>
      <c r="E604" s="78"/>
      <c r="F604" s="78"/>
      <c r="G604" s="78"/>
    </row>
    <row r="605" spans="1:8" ht="15.6" x14ac:dyDescent="0.3">
      <c r="A605" s="79" t="s">
        <v>130</v>
      </c>
      <c r="B605" s="81" t="s">
        <v>202</v>
      </c>
      <c r="C605" s="80"/>
      <c r="D605" s="125"/>
      <c r="E605" s="78"/>
      <c r="F605" s="78"/>
      <c r="G605" s="78"/>
    </row>
    <row r="606" spans="1:8" x14ac:dyDescent="0.3">
      <c r="C606" s="80"/>
      <c r="D606" s="125"/>
      <c r="E606" s="78"/>
      <c r="F606" s="78"/>
      <c r="G606" s="78"/>
    </row>
    <row r="607" spans="1:8" ht="15" thickBot="1" x14ac:dyDescent="0.35">
      <c r="A607" s="79" t="s">
        <v>161</v>
      </c>
      <c r="C607" s="80"/>
      <c r="D607" s="125"/>
      <c r="E607" s="78"/>
      <c r="F607" s="78"/>
      <c r="G607" s="78"/>
    </row>
    <row r="608" spans="1:8" ht="15" thickTop="1" x14ac:dyDescent="0.3">
      <c r="A608" s="84" t="s">
        <v>3</v>
      </c>
      <c r="B608" s="85" t="s">
        <v>135</v>
      </c>
      <c r="C608" s="86" t="s">
        <v>5</v>
      </c>
      <c r="D608" s="87" t="s">
        <v>6</v>
      </c>
      <c r="E608" s="88" t="s">
        <v>28</v>
      </c>
      <c r="F608" s="88" t="s">
        <v>28</v>
      </c>
      <c r="G608" s="89"/>
    </row>
    <row r="609" spans="1:8" ht="15" thickBot="1" x14ac:dyDescent="0.35">
      <c r="A609" s="90"/>
      <c r="B609" s="91"/>
      <c r="C609" s="92"/>
      <c r="D609" s="93"/>
      <c r="E609" s="94" t="s">
        <v>11</v>
      </c>
      <c r="F609" s="94" t="s">
        <v>10</v>
      </c>
      <c r="G609" s="89"/>
    </row>
    <row r="610" spans="1:8" ht="15" thickTop="1" x14ac:dyDescent="0.3">
      <c r="A610" s="95"/>
      <c r="B610" s="95" t="str">
        <f>LISTA!$C$10</f>
        <v>Cemento</v>
      </c>
      <c r="C610" s="126" t="str">
        <f>LISTA!$E$10</f>
        <v>Kg</v>
      </c>
      <c r="D610" s="127">
        <v>4.4000000000000004</v>
      </c>
      <c r="E610" s="134">
        <f>LISTA!$F$10</f>
        <v>6.15</v>
      </c>
      <c r="F610" s="134">
        <f>ROUND(D610*E610,2)</f>
        <v>27.06</v>
      </c>
      <c r="G610" s="100"/>
    </row>
    <row r="611" spans="1:8" x14ac:dyDescent="0.3">
      <c r="A611" s="102"/>
      <c r="B611" s="102" t="str">
        <f>LISTA!$C$11</f>
        <v xml:space="preserve">Arena </v>
      </c>
      <c r="C611" s="108" t="str">
        <f>LISTA!$E$11</f>
        <v>M3</v>
      </c>
      <c r="D611" s="109">
        <v>0.04</v>
      </c>
      <c r="E611" s="100">
        <f>LISTA!$F$11</f>
        <v>2890</v>
      </c>
      <c r="F611" s="100">
        <f>ROUND(D611*E611,2)</f>
        <v>115.6</v>
      </c>
      <c r="G611" s="100"/>
    </row>
    <row r="612" spans="1:8" x14ac:dyDescent="0.3">
      <c r="A612" s="102"/>
      <c r="B612" s="102" t="str">
        <f>LISTA!$C$17</f>
        <v>Cal</v>
      </c>
      <c r="C612" s="108" t="str">
        <f>LISTA!$E$17</f>
        <v>Kg</v>
      </c>
      <c r="D612" s="109">
        <v>3.1</v>
      </c>
      <c r="E612" s="100">
        <f>LISTA!$F$17</f>
        <v>3.9</v>
      </c>
      <c r="F612" s="100">
        <f>ROUND(D612*E612,2)</f>
        <v>12.09</v>
      </c>
      <c r="G612" s="100"/>
    </row>
    <row r="613" spans="1:8" x14ac:dyDescent="0.3">
      <c r="A613" s="102"/>
      <c r="B613" s="102" t="str">
        <f>LISTA!$C$19</f>
        <v>Hidrófugo</v>
      </c>
      <c r="C613" s="108" t="str">
        <f>LISTA!$E$19</f>
        <v>Kg</v>
      </c>
      <c r="D613" s="109">
        <v>3.1</v>
      </c>
      <c r="E613" s="100">
        <f>LISTA!$F$19</f>
        <v>1662</v>
      </c>
      <c r="F613" s="100">
        <f>ROUND(D613*E613,2)</f>
        <v>5152.2</v>
      </c>
      <c r="G613" s="100"/>
    </row>
    <row r="614" spans="1:8" x14ac:dyDescent="0.3">
      <c r="A614" s="114"/>
      <c r="B614" s="114"/>
      <c r="C614" s="115"/>
      <c r="D614" s="116" t="s">
        <v>165</v>
      </c>
      <c r="E614" s="117"/>
      <c r="F614" s="132"/>
      <c r="G614" s="113">
        <f>SUM(F610:F613)</f>
        <v>5306.95</v>
      </c>
      <c r="H614" s="91"/>
    </row>
    <row r="615" spans="1:8" x14ac:dyDescent="0.3">
      <c r="C615" s="80"/>
      <c r="D615" s="125"/>
      <c r="E615" s="78"/>
      <c r="F615" s="78"/>
      <c r="G615" s="117"/>
    </row>
    <row r="616" spans="1:8" ht="15" thickBot="1" x14ac:dyDescent="0.35">
      <c r="A616" s="79" t="s">
        <v>166</v>
      </c>
      <c r="C616" s="80"/>
      <c r="D616" s="125"/>
      <c r="E616" s="78"/>
      <c r="F616" s="78"/>
      <c r="G616" s="78"/>
    </row>
    <row r="617" spans="1:8" ht="15" thickTop="1" x14ac:dyDescent="0.3">
      <c r="A617" s="84" t="s">
        <v>3</v>
      </c>
      <c r="B617" s="85" t="s">
        <v>135</v>
      </c>
      <c r="C617" s="86" t="s">
        <v>5</v>
      </c>
      <c r="D617" s="87" t="s">
        <v>6</v>
      </c>
      <c r="E617" s="88" t="s">
        <v>28</v>
      </c>
      <c r="F617" s="88" t="s">
        <v>28</v>
      </c>
      <c r="G617" s="89"/>
    </row>
    <row r="618" spans="1:8" ht="15" thickBot="1" x14ac:dyDescent="0.35">
      <c r="A618" s="90"/>
      <c r="B618" s="91"/>
      <c r="C618" s="92"/>
      <c r="D618" s="93"/>
      <c r="E618" s="94" t="s">
        <v>11</v>
      </c>
      <c r="F618" s="94" t="s">
        <v>10</v>
      </c>
      <c r="G618" s="89"/>
    </row>
    <row r="619" spans="1:8" ht="15" thickTop="1" x14ac:dyDescent="0.3">
      <c r="A619" s="95"/>
      <c r="B619" s="95" t="s">
        <v>167</v>
      </c>
      <c r="C619" s="126" t="s">
        <v>168</v>
      </c>
      <c r="D619" s="127">
        <v>1.1000000000000001</v>
      </c>
      <c r="E619" s="134">
        <f>$F$22</f>
        <v>1238.96</v>
      </c>
      <c r="F619" s="134">
        <f>ROUND(D619*E619,2)</f>
        <v>1362.86</v>
      </c>
      <c r="G619" s="100"/>
    </row>
    <row r="620" spans="1:8" x14ac:dyDescent="0.3">
      <c r="A620" s="102"/>
      <c r="B620" s="102" t="s">
        <v>169</v>
      </c>
      <c r="C620" s="108" t="s">
        <v>168</v>
      </c>
      <c r="D620" s="109">
        <v>0.6</v>
      </c>
      <c r="E620" s="100">
        <f>$F$39</f>
        <v>386.38</v>
      </c>
      <c r="F620" s="100">
        <f>ROUND(D620*E620,2)</f>
        <v>231.83</v>
      </c>
      <c r="G620" s="100"/>
    </row>
    <row r="621" spans="1:8" x14ac:dyDescent="0.3">
      <c r="A621" s="114"/>
      <c r="B621" s="114"/>
      <c r="C621" s="115"/>
      <c r="D621" s="116" t="s">
        <v>170</v>
      </c>
      <c r="E621" s="117"/>
      <c r="F621" s="132"/>
      <c r="G621" s="113">
        <f>SUM(F619:F620)</f>
        <v>1594.6899999999998</v>
      </c>
      <c r="H621" s="91"/>
    </row>
    <row r="622" spans="1:8" ht="15" thickBot="1" x14ac:dyDescent="0.35">
      <c r="C622" s="80"/>
      <c r="D622" s="125"/>
      <c r="E622" s="78"/>
      <c r="F622" s="78"/>
      <c r="G622" s="117"/>
    </row>
    <row r="623" spans="1:8" ht="15.6" thickTop="1" thickBot="1" x14ac:dyDescent="0.35">
      <c r="C623" s="80"/>
      <c r="D623" s="125" t="s">
        <v>171</v>
      </c>
      <c r="E623" s="78"/>
      <c r="F623" s="78"/>
      <c r="G623" s="135">
        <f>SUM(G614:G621)</f>
        <v>6901.6399999999994</v>
      </c>
      <c r="H623" s="136"/>
    </row>
    <row r="624" spans="1:8" ht="15" thickTop="1" x14ac:dyDescent="0.3">
      <c r="C624" s="80"/>
      <c r="D624" s="125"/>
      <c r="E624" s="78"/>
      <c r="F624" s="78"/>
      <c r="G624" s="137"/>
    </row>
    <row r="625" spans="1:8" x14ac:dyDescent="0.3">
      <c r="C625" s="80"/>
      <c r="D625" s="125"/>
      <c r="E625" s="78"/>
      <c r="F625" s="78"/>
      <c r="G625" s="78"/>
    </row>
    <row r="626" spans="1:8" ht="15.6" x14ac:dyDescent="0.3">
      <c r="A626" s="79" t="s">
        <v>128</v>
      </c>
      <c r="B626" s="81" t="s">
        <v>216</v>
      </c>
      <c r="C626" s="80"/>
      <c r="D626" s="125"/>
      <c r="E626" s="78"/>
      <c r="F626" s="78"/>
      <c r="G626" s="78"/>
    </row>
    <row r="627" spans="1:8" ht="15.6" x14ac:dyDescent="0.3">
      <c r="A627" s="79" t="s">
        <v>130</v>
      </c>
      <c r="B627" s="81" t="s">
        <v>202</v>
      </c>
      <c r="C627" s="80"/>
      <c r="D627" s="125"/>
      <c r="E627" s="78"/>
      <c r="F627" s="78"/>
      <c r="G627" s="78"/>
    </row>
    <row r="628" spans="1:8" x14ac:dyDescent="0.3">
      <c r="C628" s="80"/>
      <c r="D628" s="125"/>
      <c r="E628" s="78"/>
      <c r="F628" s="78"/>
      <c r="G628" s="78"/>
    </row>
    <row r="629" spans="1:8" ht="15" thickBot="1" x14ac:dyDescent="0.35">
      <c r="A629" s="79" t="s">
        <v>161</v>
      </c>
      <c r="C629" s="80"/>
      <c r="D629" s="125"/>
      <c r="E629" s="78"/>
      <c r="F629" s="78"/>
      <c r="G629" s="78"/>
    </row>
    <row r="630" spans="1:8" ht="15" thickTop="1" x14ac:dyDescent="0.3">
      <c r="A630" s="84" t="s">
        <v>3</v>
      </c>
      <c r="B630" s="85" t="s">
        <v>135</v>
      </c>
      <c r="C630" s="86" t="s">
        <v>5</v>
      </c>
      <c r="D630" s="87" t="s">
        <v>6</v>
      </c>
      <c r="E630" s="88" t="s">
        <v>28</v>
      </c>
      <c r="F630" s="88" t="s">
        <v>28</v>
      </c>
      <c r="G630" s="89"/>
    </row>
    <row r="631" spans="1:8" ht="15" thickBot="1" x14ac:dyDescent="0.35">
      <c r="A631" s="90"/>
      <c r="B631" s="91"/>
      <c r="C631" s="92"/>
      <c r="D631" s="93"/>
      <c r="E631" s="94" t="s">
        <v>11</v>
      </c>
      <c r="F631" s="94" t="s">
        <v>10</v>
      </c>
      <c r="G631" s="89"/>
    </row>
    <row r="632" spans="1:8" ht="15" thickTop="1" x14ac:dyDescent="0.3">
      <c r="A632" s="95"/>
      <c r="B632" s="95" t="str">
        <f>LISTA!$C$10</f>
        <v>Cemento</v>
      </c>
      <c r="C632" s="126" t="str">
        <f>LISTA!$E$10</f>
        <v>Kg</v>
      </c>
      <c r="D632" s="127">
        <v>5</v>
      </c>
      <c r="E632" s="146">
        <f>LISTA!$F$10</f>
        <v>6.15</v>
      </c>
      <c r="F632" s="134">
        <f>ROUND(D632*E632,2)</f>
        <v>30.75</v>
      </c>
      <c r="G632" s="100"/>
    </row>
    <row r="633" spans="1:8" x14ac:dyDescent="0.3">
      <c r="A633" s="102"/>
      <c r="B633" s="102" t="str">
        <f>LISTA!$C$11</f>
        <v xml:space="preserve">Arena </v>
      </c>
      <c r="C633" s="108" t="str">
        <f>LISTA!$E$11</f>
        <v>M3</v>
      </c>
      <c r="D633" s="109">
        <v>0.01</v>
      </c>
      <c r="E633" s="147">
        <f>LISTA!$F$11</f>
        <v>2890</v>
      </c>
      <c r="F633" s="100">
        <f>ROUND(D633*E633,2)</f>
        <v>28.9</v>
      </c>
      <c r="G633" s="100"/>
    </row>
    <row r="634" spans="1:8" x14ac:dyDescent="0.3">
      <c r="A634" s="102"/>
      <c r="B634" s="102" t="str">
        <f>LISTA!$C$19</f>
        <v>Hidrófugo</v>
      </c>
      <c r="C634" s="108" t="str">
        <f>LISTA!$E$19</f>
        <v>Kg</v>
      </c>
      <c r="D634" s="109">
        <v>0.01</v>
      </c>
      <c r="E634" s="147">
        <f>LISTA!$F$19</f>
        <v>1662</v>
      </c>
      <c r="F634" s="100">
        <f>ROUND(D634*E634,2)</f>
        <v>16.62</v>
      </c>
      <c r="G634" s="100"/>
    </row>
    <row r="635" spans="1:8" x14ac:dyDescent="0.3">
      <c r="A635" s="102"/>
      <c r="B635" s="102"/>
      <c r="C635" s="108"/>
      <c r="D635" s="109"/>
      <c r="E635" s="147"/>
      <c r="F635" s="100"/>
      <c r="G635" s="100"/>
    </row>
    <row r="636" spans="1:8" x14ac:dyDescent="0.3">
      <c r="A636" s="114"/>
      <c r="B636" s="114"/>
      <c r="C636" s="149"/>
      <c r="D636" s="116" t="s">
        <v>165</v>
      </c>
      <c r="E636" s="117"/>
      <c r="F636" s="132"/>
      <c r="G636" s="113">
        <f>SUM(F632:F635)</f>
        <v>76.27</v>
      </c>
      <c r="H636" s="91"/>
    </row>
    <row r="637" spans="1:8" x14ac:dyDescent="0.3">
      <c r="C637" s="80"/>
      <c r="D637" s="125"/>
      <c r="E637" s="78"/>
      <c r="F637" s="78"/>
      <c r="G637" s="117"/>
    </row>
    <row r="638" spans="1:8" ht="15" thickBot="1" x14ac:dyDescent="0.35">
      <c r="A638" s="79" t="s">
        <v>166</v>
      </c>
      <c r="C638" s="80"/>
      <c r="D638" s="125"/>
      <c r="E638" s="78"/>
      <c r="F638" s="78"/>
      <c r="G638" s="78"/>
    </row>
    <row r="639" spans="1:8" ht="15" thickTop="1" x14ac:dyDescent="0.3">
      <c r="A639" s="84" t="s">
        <v>3</v>
      </c>
      <c r="B639" s="85" t="s">
        <v>135</v>
      </c>
      <c r="C639" s="86" t="s">
        <v>5</v>
      </c>
      <c r="D639" s="87" t="s">
        <v>6</v>
      </c>
      <c r="E639" s="88" t="s">
        <v>28</v>
      </c>
      <c r="F639" s="139" t="s">
        <v>28</v>
      </c>
      <c r="G639" s="89"/>
    </row>
    <row r="640" spans="1:8" ht="15" thickBot="1" x14ac:dyDescent="0.35">
      <c r="A640" s="140"/>
      <c r="B640" s="141"/>
      <c r="C640" s="142"/>
      <c r="D640" s="143"/>
      <c r="E640" s="144" t="s">
        <v>11</v>
      </c>
      <c r="F640" s="145" t="s">
        <v>10</v>
      </c>
      <c r="G640" s="89"/>
    </row>
    <row r="641" spans="1:8" ht="15" thickTop="1" x14ac:dyDescent="0.3">
      <c r="A641" s="102"/>
      <c r="B641" s="102" t="s">
        <v>167</v>
      </c>
      <c r="C641" s="108" t="s">
        <v>168</v>
      </c>
      <c r="D641" s="109">
        <v>0.5</v>
      </c>
      <c r="E641" s="100">
        <f>$F$22</f>
        <v>1238.96</v>
      </c>
      <c r="F641" s="138">
        <f>ROUND(D641*E641,2)</f>
        <v>619.48</v>
      </c>
      <c r="G641" s="100"/>
    </row>
    <row r="642" spans="1:8" x14ac:dyDescent="0.3">
      <c r="A642" s="102"/>
      <c r="B642" s="102" t="s">
        <v>169</v>
      </c>
      <c r="C642" s="108" t="s">
        <v>168</v>
      </c>
      <c r="D642" s="109">
        <v>0.3</v>
      </c>
      <c r="E642" s="100">
        <f>$F$39</f>
        <v>386.38</v>
      </c>
      <c r="F642" s="100">
        <f>ROUND(D642*E642,2)</f>
        <v>115.91</v>
      </c>
      <c r="G642" s="100"/>
    </row>
    <row r="643" spans="1:8" x14ac:dyDescent="0.3">
      <c r="A643" s="114"/>
      <c r="B643" s="114"/>
      <c r="C643" s="115"/>
      <c r="D643" s="116" t="s">
        <v>170</v>
      </c>
      <c r="E643" s="117"/>
      <c r="F643" s="132"/>
      <c r="G643" s="113">
        <f>SUM(F641:F642)</f>
        <v>735.39</v>
      </c>
      <c r="H643" s="91"/>
    </row>
    <row r="644" spans="1:8" ht="15" thickBot="1" x14ac:dyDescent="0.35">
      <c r="C644" s="80"/>
      <c r="D644" s="125"/>
      <c r="E644" s="78"/>
      <c r="F644" s="78"/>
      <c r="G644" s="117"/>
    </row>
    <row r="645" spans="1:8" ht="15.6" thickTop="1" thickBot="1" x14ac:dyDescent="0.35">
      <c r="C645" s="80"/>
      <c r="D645" s="125" t="s">
        <v>171</v>
      </c>
      <c r="E645" s="78"/>
      <c r="F645" s="78"/>
      <c r="G645" s="135">
        <f>SUM(G636:G643)</f>
        <v>811.66</v>
      </c>
      <c r="H645" s="136"/>
    </row>
    <row r="646" spans="1:8" ht="15" thickTop="1" x14ac:dyDescent="0.3">
      <c r="C646" s="80"/>
      <c r="D646" s="125"/>
      <c r="E646" s="78"/>
      <c r="F646" s="78"/>
      <c r="G646" s="137"/>
    </row>
    <row r="647" spans="1:8" ht="15.6" x14ac:dyDescent="0.3">
      <c r="A647" s="79" t="s">
        <v>128</v>
      </c>
      <c r="B647" s="81" t="s">
        <v>217</v>
      </c>
      <c r="C647" s="80"/>
      <c r="D647" s="125"/>
      <c r="E647" s="78"/>
      <c r="F647" s="78"/>
      <c r="G647" s="78"/>
    </row>
    <row r="648" spans="1:8" ht="15.6" x14ac:dyDescent="0.3">
      <c r="A648" s="79" t="s">
        <v>130</v>
      </c>
      <c r="B648" s="81" t="s">
        <v>202</v>
      </c>
      <c r="C648" s="80"/>
      <c r="D648" s="125"/>
      <c r="E648" s="78"/>
      <c r="F648" s="78"/>
      <c r="G648" s="78"/>
    </row>
    <row r="649" spans="1:8" x14ac:dyDescent="0.3">
      <c r="C649" s="80"/>
      <c r="D649" s="125"/>
      <c r="E649" s="78"/>
      <c r="F649" s="78"/>
      <c r="G649" s="78"/>
    </row>
    <row r="650" spans="1:8" ht="15" thickBot="1" x14ac:dyDescent="0.35">
      <c r="A650" s="79" t="s">
        <v>161</v>
      </c>
      <c r="C650" s="80"/>
      <c r="D650" s="125"/>
      <c r="E650" s="78"/>
      <c r="F650" s="78"/>
      <c r="G650" s="78"/>
    </row>
    <row r="651" spans="1:8" ht="15" thickTop="1" x14ac:dyDescent="0.3">
      <c r="A651" s="84" t="s">
        <v>3</v>
      </c>
      <c r="B651" s="85" t="s">
        <v>135</v>
      </c>
      <c r="C651" s="86" t="s">
        <v>5</v>
      </c>
      <c r="D651" s="87" t="s">
        <v>6</v>
      </c>
      <c r="E651" s="88" t="s">
        <v>28</v>
      </c>
      <c r="F651" s="88" t="s">
        <v>28</v>
      </c>
      <c r="G651" s="89"/>
    </row>
    <row r="652" spans="1:8" ht="15" thickBot="1" x14ac:dyDescent="0.35">
      <c r="A652" s="90"/>
      <c r="B652" s="91"/>
      <c r="C652" s="92"/>
      <c r="D652" s="93"/>
      <c r="E652" s="94" t="s">
        <v>11</v>
      </c>
      <c r="F652" s="94" t="s">
        <v>10</v>
      </c>
      <c r="G652" s="89"/>
    </row>
    <row r="653" spans="1:8" ht="15" thickTop="1" x14ac:dyDescent="0.3">
      <c r="A653" s="95"/>
      <c r="B653" s="95" t="str">
        <f>LISTA!$C$10</f>
        <v>Cemento</v>
      </c>
      <c r="C653" s="126" t="str">
        <f>LISTA!$E$10</f>
        <v>Kg</v>
      </c>
      <c r="D653" s="127">
        <v>15</v>
      </c>
      <c r="E653" s="146">
        <f>LISTA!$F$10</f>
        <v>6.15</v>
      </c>
      <c r="F653" s="134">
        <f>ROUND(D653*E653,2)</f>
        <v>92.25</v>
      </c>
      <c r="G653" s="100"/>
    </row>
    <row r="654" spans="1:8" x14ac:dyDescent="0.3">
      <c r="A654" s="102"/>
      <c r="B654" s="102" t="str">
        <f>LISTA!$C$11</f>
        <v xml:space="preserve">Arena </v>
      </c>
      <c r="C654" s="108" t="str">
        <f>LISTA!$E$11</f>
        <v>M3</v>
      </c>
      <c r="D654" s="109">
        <v>0.03</v>
      </c>
      <c r="E654" s="147">
        <f>LISTA!$F$11</f>
        <v>2890</v>
      </c>
      <c r="F654" s="100">
        <f>ROUND(D654*E654,2)</f>
        <v>86.7</v>
      </c>
      <c r="G654" s="100"/>
    </row>
    <row r="655" spans="1:8" x14ac:dyDescent="0.3">
      <c r="A655" s="102"/>
      <c r="B655" s="102" t="str">
        <f>LISTA!$C$19</f>
        <v>Hidrófugo</v>
      </c>
      <c r="C655" s="108" t="str">
        <f>LISTA!$E$19</f>
        <v>Kg</v>
      </c>
      <c r="D655" s="109">
        <v>0.25</v>
      </c>
      <c r="E655" s="147">
        <f>LISTA!$F$19</f>
        <v>1662</v>
      </c>
      <c r="F655" s="100">
        <f>ROUND(D655*E655,2)</f>
        <v>415.5</v>
      </c>
      <c r="G655" s="100"/>
    </row>
    <row r="656" spans="1:8" x14ac:dyDescent="0.3">
      <c r="A656" s="102"/>
      <c r="B656" s="102"/>
      <c r="C656" s="108"/>
      <c r="D656" s="109"/>
      <c r="E656" s="147"/>
      <c r="F656" s="100"/>
      <c r="G656" s="100"/>
    </row>
    <row r="657" spans="1:8" x14ac:dyDescent="0.3">
      <c r="A657" s="114"/>
      <c r="B657" s="114"/>
      <c r="C657" s="149"/>
      <c r="D657" s="116" t="s">
        <v>165</v>
      </c>
      <c r="E657" s="117"/>
      <c r="F657" s="132"/>
      <c r="G657" s="113">
        <f>SUM(F653:F656)</f>
        <v>594.45000000000005</v>
      </c>
      <c r="H657" s="91"/>
    </row>
    <row r="658" spans="1:8" x14ac:dyDescent="0.3">
      <c r="C658" s="80"/>
      <c r="D658" s="125"/>
      <c r="E658" s="78"/>
      <c r="F658" s="78"/>
      <c r="G658" s="117"/>
    </row>
    <row r="659" spans="1:8" ht="15" thickBot="1" x14ac:dyDescent="0.35">
      <c r="A659" s="79" t="s">
        <v>166</v>
      </c>
      <c r="C659" s="80"/>
      <c r="D659" s="125"/>
      <c r="E659" s="78"/>
      <c r="F659" s="78"/>
      <c r="G659" s="78"/>
    </row>
    <row r="660" spans="1:8" ht="15" thickTop="1" x14ac:dyDescent="0.3">
      <c r="A660" s="84" t="s">
        <v>3</v>
      </c>
      <c r="B660" s="85" t="s">
        <v>135</v>
      </c>
      <c r="C660" s="86" t="s">
        <v>5</v>
      </c>
      <c r="D660" s="87" t="s">
        <v>6</v>
      </c>
      <c r="E660" s="88" t="s">
        <v>28</v>
      </c>
      <c r="F660" s="139" t="s">
        <v>28</v>
      </c>
      <c r="G660" s="89"/>
    </row>
    <row r="661" spans="1:8" ht="15" thickBot="1" x14ac:dyDescent="0.35">
      <c r="A661" s="140"/>
      <c r="B661" s="141"/>
      <c r="C661" s="142"/>
      <c r="D661" s="143"/>
      <c r="E661" s="144" t="s">
        <v>11</v>
      </c>
      <c r="F661" s="145" t="s">
        <v>10</v>
      </c>
      <c r="G661" s="89"/>
    </row>
    <row r="662" spans="1:8" ht="15" thickTop="1" x14ac:dyDescent="0.3">
      <c r="A662" s="102"/>
      <c r="B662" s="102" t="s">
        <v>167</v>
      </c>
      <c r="C662" s="108" t="s">
        <v>168</v>
      </c>
      <c r="D662" s="109">
        <v>1</v>
      </c>
      <c r="E662" s="100">
        <f>$F$22</f>
        <v>1238.96</v>
      </c>
      <c r="F662" s="138">
        <f>ROUND(D662*E662,2)</f>
        <v>1238.96</v>
      </c>
      <c r="G662" s="100"/>
    </row>
    <row r="663" spans="1:8" x14ac:dyDescent="0.3">
      <c r="A663" s="102"/>
      <c r="B663" s="102" t="s">
        <v>169</v>
      </c>
      <c r="C663" s="108" t="s">
        <v>168</v>
      </c>
      <c r="D663" s="109">
        <v>0.6</v>
      </c>
      <c r="E663" s="100">
        <f>$F$39</f>
        <v>386.38</v>
      </c>
      <c r="F663" s="100">
        <f>ROUND(D663*E663,2)</f>
        <v>231.83</v>
      </c>
      <c r="G663" s="100"/>
    </row>
    <row r="664" spans="1:8" x14ac:dyDescent="0.3">
      <c r="A664" s="114"/>
      <c r="B664" s="114"/>
      <c r="C664" s="115"/>
      <c r="D664" s="116" t="s">
        <v>170</v>
      </c>
      <c r="E664" s="117"/>
      <c r="F664" s="132"/>
      <c r="G664" s="113">
        <f>SUM(F662:F663)</f>
        <v>1470.79</v>
      </c>
      <c r="H664" s="91"/>
    </row>
    <row r="665" spans="1:8" ht="15" thickBot="1" x14ac:dyDescent="0.35">
      <c r="C665" s="80"/>
      <c r="D665" s="125"/>
      <c r="E665" s="78"/>
      <c r="F665" s="78"/>
      <c r="G665" s="117"/>
    </row>
    <row r="666" spans="1:8" ht="15.6" thickTop="1" thickBot="1" x14ac:dyDescent="0.35">
      <c r="C666" s="80"/>
      <c r="D666" s="125" t="s">
        <v>171</v>
      </c>
      <c r="E666" s="78"/>
      <c r="F666" s="78"/>
      <c r="G666" s="135">
        <f>SUM(G657:G664)</f>
        <v>2065.2399999999998</v>
      </c>
      <c r="H666" s="136"/>
    </row>
    <row r="667" spans="1:8" ht="15" thickTop="1" x14ac:dyDescent="0.3">
      <c r="C667" s="80"/>
      <c r="D667" s="125"/>
      <c r="E667" s="78"/>
      <c r="F667" s="78"/>
      <c r="G667" s="137"/>
    </row>
    <row r="668" spans="1:8" ht="15.6" x14ac:dyDescent="0.3">
      <c r="A668" s="79" t="s">
        <v>128</v>
      </c>
      <c r="B668" s="81" t="s">
        <v>218</v>
      </c>
      <c r="C668" s="80"/>
      <c r="D668" s="125"/>
      <c r="E668" s="78"/>
      <c r="F668" s="78"/>
      <c r="G668" s="78"/>
    </row>
    <row r="669" spans="1:8" ht="15.6" x14ac:dyDescent="0.3">
      <c r="A669" s="79" t="s">
        <v>130</v>
      </c>
      <c r="B669" s="81" t="s">
        <v>202</v>
      </c>
      <c r="C669" s="80"/>
      <c r="D669" s="125"/>
      <c r="E669" s="78"/>
      <c r="F669" s="78"/>
      <c r="G669" s="78"/>
    </row>
    <row r="670" spans="1:8" x14ac:dyDescent="0.3">
      <c r="C670" s="80"/>
      <c r="D670" s="125"/>
      <c r="E670" s="78"/>
      <c r="F670" s="78"/>
      <c r="G670" s="78"/>
    </row>
    <row r="671" spans="1:8" ht="15" thickBot="1" x14ac:dyDescent="0.35">
      <c r="A671" s="79" t="s">
        <v>161</v>
      </c>
      <c r="C671" s="80"/>
      <c r="D671" s="125"/>
      <c r="E671" s="78"/>
      <c r="F671" s="78"/>
      <c r="G671" s="78"/>
    </row>
    <row r="672" spans="1:8" ht="15" thickTop="1" x14ac:dyDescent="0.3">
      <c r="A672" s="84" t="s">
        <v>3</v>
      </c>
      <c r="B672" s="85" t="s">
        <v>135</v>
      </c>
      <c r="C672" s="86" t="s">
        <v>5</v>
      </c>
      <c r="D672" s="87" t="s">
        <v>6</v>
      </c>
      <c r="E672" s="88" t="s">
        <v>28</v>
      </c>
      <c r="F672" s="88" t="s">
        <v>28</v>
      </c>
      <c r="G672" s="89"/>
    </row>
    <row r="673" spans="1:8" ht="15" thickBot="1" x14ac:dyDescent="0.35">
      <c r="A673" s="90"/>
      <c r="B673" s="91"/>
      <c r="C673" s="92"/>
      <c r="D673" s="93"/>
      <c r="E673" s="94" t="s">
        <v>11</v>
      </c>
      <c r="F673" s="94" t="s">
        <v>10</v>
      </c>
      <c r="G673" s="89"/>
    </row>
    <row r="674" spans="1:8" ht="15" thickTop="1" x14ac:dyDescent="0.3">
      <c r="A674" s="95"/>
      <c r="B674" s="95" t="str">
        <f>LISTA!$C$10</f>
        <v>Cemento</v>
      </c>
      <c r="C674" s="126" t="str">
        <f>LISTA!$E$10</f>
        <v>Kg</v>
      </c>
      <c r="D674" s="127">
        <v>0.3</v>
      </c>
      <c r="E674" s="146">
        <f>LISTA!$F$10</f>
        <v>6.15</v>
      </c>
      <c r="F674" s="134">
        <f>ROUND(D674*E674,2)</f>
        <v>1.85</v>
      </c>
      <c r="G674" s="100"/>
    </row>
    <row r="675" spans="1:8" x14ac:dyDescent="0.3">
      <c r="A675" s="102"/>
      <c r="B675" s="102" t="str">
        <f>LISTA!$C$11</f>
        <v xml:space="preserve">Arena </v>
      </c>
      <c r="C675" s="108" t="str">
        <f>LISTA!$E$11</f>
        <v>M3</v>
      </c>
      <c r="D675" s="109">
        <v>0.01</v>
      </c>
      <c r="E675" s="147">
        <f>LISTA!$F$11</f>
        <v>2890</v>
      </c>
      <c r="F675" s="100">
        <f>ROUND(D675*E675,2)</f>
        <v>28.9</v>
      </c>
      <c r="G675" s="100"/>
    </row>
    <row r="676" spans="1:8" x14ac:dyDescent="0.3">
      <c r="A676" s="102"/>
      <c r="B676" s="102" t="str">
        <f>LISTA!$C$17</f>
        <v>Cal</v>
      </c>
      <c r="C676" s="108" t="str">
        <f>LISTA!$E$17</f>
        <v>Kg</v>
      </c>
      <c r="D676" s="109">
        <v>1</v>
      </c>
      <c r="E676" s="147">
        <f>LISTA!$F$17</f>
        <v>3.9</v>
      </c>
      <c r="F676" s="100">
        <f>ROUND(D676*E676,2)</f>
        <v>3.9</v>
      </c>
      <c r="G676" s="100"/>
    </row>
    <row r="677" spans="1:8" x14ac:dyDescent="0.3">
      <c r="A677" s="102"/>
      <c r="B677" s="102"/>
      <c r="C677" s="108"/>
      <c r="D677" s="109"/>
      <c r="E677" s="147"/>
      <c r="F677" s="100"/>
      <c r="G677" s="100"/>
    </row>
    <row r="678" spans="1:8" x14ac:dyDescent="0.3">
      <c r="A678" s="114"/>
      <c r="B678" s="114"/>
      <c r="C678" s="149"/>
      <c r="D678" s="116" t="s">
        <v>165</v>
      </c>
      <c r="E678" s="117"/>
      <c r="F678" s="132"/>
      <c r="G678" s="113">
        <f>SUM(F674:F677)</f>
        <v>34.65</v>
      </c>
      <c r="H678" s="91"/>
    </row>
    <row r="679" spans="1:8" x14ac:dyDescent="0.3">
      <c r="C679" s="80"/>
      <c r="D679" s="125"/>
      <c r="E679" s="78"/>
      <c r="F679" s="78"/>
      <c r="G679" s="117"/>
    </row>
    <row r="680" spans="1:8" ht="15" thickBot="1" x14ac:dyDescent="0.35">
      <c r="A680" s="79" t="s">
        <v>166</v>
      </c>
      <c r="C680" s="80"/>
      <c r="D680" s="125"/>
      <c r="E680" s="78"/>
      <c r="F680" s="78"/>
      <c r="G680" s="78"/>
    </row>
    <row r="681" spans="1:8" ht="15" thickTop="1" x14ac:dyDescent="0.3">
      <c r="A681" s="84" t="s">
        <v>3</v>
      </c>
      <c r="B681" s="85" t="s">
        <v>135</v>
      </c>
      <c r="C681" s="86" t="s">
        <v>5</v>
      </c>
      <c r="D681" s="87" t="s">
        <v>6</v>
      </c>
      <c r="E681" s="88" t="s">
        <v>28</v>
      </c>
      <c r="F681" s="139" t="s">
        <v>28</v>
      </c>
      <c r="G681" s="89"/>
    </row>
    <row r="682" spans="1:8" ht="15" thickBot="1" x14ac:dyDescent="0.35">
      <c r="A682" s="140"/>
      <c r="B682" s="141"/>
      <c r="C682" s="142"/>
      <c r="D682" s="143"/>
      <c r="E682" s="144" t="s">
        <v>11</v>
      </c>
      <c r="F682" s="145" t="s">
        <v>10</v>
      </c>
      <c r="G682" s="89"/>
    </row>
    <row r="683" spans="1:8" ht="15" thickTop="1" x14ac:dyDescent="0.3">
      <c r="A683" s="102"/>
      <c r="B683" s="102" t="s">
        <v>167</v>
      </c>
      <c r="C683" s="108" t="s">
        <v>168</v>
      </c>
      <c r="D683" s="109">
        <v>0.4</v>
      </c>
      <c r="E683" s="100">
        <f>$F$22</f>
        <v>1238.96</v>
      </c>
      <c r="F683" s="138">
        <f>ROUND(D683*E683,2)</f>
        <v>495.58</v>
      </c>
      <c r="G683" s="100"/>
    </row>
    <row r="684" spans="1:8" x14ac:dyDescent="0.3">
      <c r="A684" s="102"/>
      <c r="B684" s="102" t="s">
        <v>169</v>
      </c>
      <c r="C684" s="108" t="s">
        <v>168</v>
      </c>
      <c r="D684" s="109">
        <v>0.2</v>
      </c>
      <c r="E684" s="100">
        <f>$F$39</f>
        <v>386.38</v>
      </c>
      <c r="F684" s="100">
        <f>ROUND(D684*E684,2)</f>
        <v>77.28</v>
      </c>
      <c r="G684" s="100"/>
    </row>
    <row r="685" spans="1:8" x14ac:dyDescent="0.3">
      <c r="A685" s="114"/>
      <c r="B685" s="114"/>
      <c r="C685" s="115"/>
      <c r="D685" s="116" t="s">
        <v>170</v>
      </c>
      <c r="E685" s="117"/>
      <c r="F685" s="132"/>
      <c r="G685" s="113">
        <f>SUM(F683:F684)</f>
        <v>572.86</v>
      </c>
      <c r="H685" s="91"/>
    </row>
    <row r="686" spans="1:8" ht="15" thickBot="1" x14ac:dyDescent="0.35">
      <c r="C686" s="80"/>
      <c r="D686" s="125"/>
      <c r="E686" s="78"/>
      <c r="F686" s="78"/>
      <c r="G686" s="117"/>
    </row>
    <row r="687" spans="1:8" ht="15.6" thickTop="1" thickBot="1" x14ac:dyDescent="0.35">
      <c r="C687" s="80"/>
      <c r="D687" s="125" t="s">
        <v>171</v>
      </c>
      <c r="E687" s="78"/>
      <c r="F687" s="78"/>
      <c r="G687" s="135">
        <f>SUM(G678:G685)</f>
        <v>607.51</v>
      </c>
      <c r="H687" s="136"/>
    </row>
    <row r="688" spans="1:8" ht="15" thickTop="1" x14ac:dyDescent="0.3">
      <c r="C688" s="80"/>
      <c r="D688" s="125"/>
      <c r="E688" s="78"/>
      <c r="F688" s="78"/>
      <c r="G688" s="137"/>
    </row>
    <row r="689" spans="1:8" ht="15.6" x14ac:dyDescent="0.3">
      <c r="A689" s="79" t="s">
        <v>128</v>
      </c>
      <c r="B689" s="81" t="s">
        <v>219</v>
      </c>
      <c r="C689" s="80"/>
      <c r="D689" s="125"/>
      <c r="E689" s="78"/>
      <c r="F689" s="78"/>
      <c r="G689" s="78"/>
    </row>
    <row r="690" spans="1:8" ht="15.6" x14ac:dyDescent="0.3">
      <c r="A690" s="79" t="s">
        <v>130</v>
      </c>
      <c r="B690" s="81" t="s">
        <v>202</v>
      </c>
      <c r="C690" s="80"/>
      <c r="D690" s="125"/>
      <c r="E690" s="78"/>
      <c r="F690" s="78"/>
      <c r="G690" s="78"/>
    </row>
    <row r="691" spans="1:8" x14ac:dyDescent="0.3">
      <c r="C691" s="80"/>
      <c r="D691" s="125"/>
      <c r="E691" s="78"/>
      <c r="F691" s="78"/>
      <c r="G691" s="78"/>
    </row>
    <row r="692" spans="1:8" ht="15" thickBot="1" x14ac:dyDescent="0.35">
      <c r="A692" s="79" t="s">
        <v>161</v>
      </c>
      <c r="C692" s="80"/>
      <c r="D692" s="125"/>
      <c r="E692" s="78"/>
      <c r="F692" s="78"/>
      <c r="G692" s="78"/>
    </row>
    <row r="693" spans="1:8" ht="15" thickTop="1" x14ac:dyDescent="0.3">
      <c r="A693" s="84" t="s">
        <v>3</v>
      </c>
      <c r="B693" s="85" t="s">
        <v>135</v>
      </c>
      <c r="C693" s="86" t="s">
        <v>5</v>
      </c>
      <c r="D693" s="87" t="s">
        <v>6</v>
      </c>
      <c r="E693" s="88" t="s">
        <v>28</v>
      </c>
      <c r="F693" s="88" t="s">
        <v>28</v>
      </c>
      <c r="G693" s="89"/>
    </row>
    <row r="694" spans="1:8" ht="15" thickBot="1" x14ac:dyDescent="0.35">
      <c r="A694" s="90"/>
      <c r="B694" s="91"/>
      <c r="C694" s="92"/>
      <c r="D694" s="93"/>
      <c r="E694" s="94" t="s">
        <v>11</v>
      </c>
      <c r="F694" s="94" t="s">
        <v>10</v>
      </c>
      <c r="G694" s="89"/>
    </row>
    <row r="695" spans="1:8" ht="15" thickTop="1" x14ac:dyDescent="0.3">
      <c r="A695" s="95"/>
      <c r="B695" s="95" t="str">
        <f>LISTA!C10</f>
        <v>Cemento</v>
      </c>
      <c r="C695" s="126" t="str">
        <f>LISTA!E10</f>
        <v>Kg</v>
      </c>
      <c r="D695" s="127">
        <v>0.5</v>
      </c>
      <c r="E695" s="134">
        <f>LISTA!F10</f>
        <v>6.15</v>
      </c>
      <c r="F695" s="134">
        <f>ROUND(D695*E695,2)</f>
        <v>3.08</v>
      </c>
      <c r="G695" s="100"/>
    </row>
    <row r="696" spans="1:8" x14ac:dyDescent="0.3">
      <c r="A696" s="102"/>
      <c r="B696" s="102" t="str">
        <f>LISTA!C11</f>
        <v xml:space="preserve">Arena </v>
      </c>
      <c r="C696" s="108" t="str">
        <f>LISTA!E11</f>
        <v>M3</v>
      </c>
      <c r="D696" s="109">
        <v>0.01</v>
      </c>
      <c r="E696" s="100">
        <f>LISTA!F11</f>
        <v>2890</v>
      </c>
      <c r="F696" s="100">
        <f>ROUND(D696*E696,2)</f>
        <v>28.9</v>
      </c>
      <c r="G696" s="100"/>
    </row>
    <row r="697" spans="1:8" x14ac:dyDescent="0.3">
      <c r="A697" s="102"/>
      <c r="B697" s="102" t="str">
        <f>LISTA!C17</f>
        <v>Cal</v>
      </c>
      <c r="C697" s="108" t="str">
        <f>LISTA!E17</f>
        <v>Kg</v>
      </c>
      <c r="D697" s="109">
        <v>1</v>
      </c>
      <c r="E697" s="100">
        <f>LISTA!F17</f>
        <v>3.9</v>
      </c>
      <c r="F697" s="100">
        <f>ROUND(D697*E697,2)</f>
        <v>3.9</v>
      </c>
      <c r="G697" s="100"/>
    </row>
    <row r="698" spans="1:8" x14ac:dyDescent="0.3">
      <c r="A698" s="114"/>
      <c r="B698" s="114"/>
      <c r="C698" s="115"/>
      <c r="D698" s="116" t="s">
        <v>165</v>
      </c>
      <c r="E698" s="117"/>
      <c r="F698" s="132"/>
      <c r="G698" s="113">
        <f>SUM(F695:F697)</f>
        <v>35.879999999999995</v>
      </c>
      <c r="H698" s="91"/>
    </row>
    <row r="699" spans="1:8" x14ac:dyDescent="0.3">
      <c r="C699" s="80"/>
      <c r="D699" s="125"/>
      <c r="E699" s="78"/>
      <c r="F699" s="78"/>
      <c r="G699" s="117"/>
    </row>
    <row r="700" spans="1:8" ht="15" thickBot="1" x14ac:dyDescent="0.35">
      <c r="A700" s="79" t="s">
        <v>166</v>
      </c>
      <c r="C700" s="80"/>
      <c r="D700" s="125"/>
      <c r="E700" s="78"/>
      <c r="F700" s="78"/>
      <c r="G700" s="78"/>
    </row>
    <row r="701" spans="1:8" ht="15" thickTop="1" x14ac:dyDescent="0.3">
      <c r="A701" s="84" t="s">
        <v>3</v>
      </c>
      <c r="B701" s="85" t="s">
        <v>135</v>
      </c>
      <c r="C701" s="86" t="s">
        <v>5</v>
      </c>
      <c r="D701" s="87" t="s">
        <v>6</v>
      </c>
      <c r="E701" s="88" t="s">
        <v>28</v>
      </c>
      <c r="F701" s="88" t="s">
        <v>28</v>
      </c>
      <c r="G701" s="89"/>
    </row>
    <row r="702" spans="1:8" ht="15" thickBot="1" x14ac:dyDescent="0.35">
      <c r="A702" s="90"/>
      <c r="B702" s="91"/>
      <c r="C702" s="92"/>
      <c r="D702" s="93"/>
      <c r="E702" s="94" t="s">
        <v>11</v>
      </c>
      <c r="F702" s="94" t="s">
        <v>10</v>
      </c>
      <c r="G702" s="89"/>
    </row>
    <row r="703" spans="1:8" ht="15" thickTop="1" x14ac:dyDescent="0.3">
      <c r="A703" s="95"/>
      <c r="B703" s="95" t="s">
        <v>167</v>
      </c>
      <c r="C703" s="126" t="s">
        <v>168</v>
      </c>
      <c r="D703" s="127">
        <v>0.2</v>
      </c>
      <c r="E703" s="134">
        <f>$F$22</f>
        <v>1238.96</v>
      </c>
      <c r="F703" s="134">
        <f>ROUND(D703*E703,2)</f>
        <v>247.79</v>
      </c>
      <c r="G703" s="100"/>
    </row>
    <row r="704" spans="1:8" x14ac:dyDescent="0.3">
      <c r="A704" s="102"/>
      <c r="B704" s="102" t="s">
        <v>169</v>
      </c>
      <c r="C704" s="108" t="s">
        <v>168</v>
      </c>
      <c r="D704" s="109">
        <v>0.1</v>
      </c>
      <c r="E704" s="100">
        <f>$F$39</f>
        <v>386.38</v>
      </c>
      <c r="F704" s="100">
        <f>ROUND(D704*E704,2)</f>
        <v>38.64</v>
      </c>
      <c r="G704" s="100"/>
    </row>
    <row r="705" spans="1:8" x14ac:dyDescent="0.3">
      <c r="A705" s="114"/>
      <c r="B705" s="114"/>
      <c r="C705" s="115"/>
      <c r="D705" s="116" t="s">
        <v>170</v>
      </c>
      <c r="E705" s="117"/>
      <c r="F705" s="132"/>
      <c r="G705" s="113">
        <f>SUM(F703:F704)</f>
        <v>286.43</v>
      </c>
      <c r="H705" s="91"/>
    </row>
    <row r="706" spans="1:8" ht="15" thickBot="1" x14ac:dyDescent="0.35">
      <c r="C706" s="80"/>
      <c r="D706" s="125"/>
      <c r="E706" s="78"/>
      <c r="F706" s="78"/>
      <c r="G706" s="117"/>
    </row>
    <row r="707" spans="1:8" ht="15.6" thickTop="1" thickBot="1" x14ac:dyDescent="0.35">
      <c r="C707" s="80"/>
      <c r="D707" s="125" t="s">
        <v>171</v>
      </c>
      <c r="E707" s="78"/>
      <c r="F707" s="78"/>
      <c r="G707" s="135">
        <f>SUM(G698:G705)</f>
        <v>322.31</v>
      </c>
      <c r="H707" s="136"/>
    </row>
    <row r="708" spans="1:8" ht="15" thickTop="1" x14ac:dyDescent="0.3">
      <c r="C708" s="80"/>
      <c r="D708" s="125"/>
      <c r="E708" s="78"/>
      <c r="F708" s="78"/>
      <c r="G708" s="137"/>
    </row>
    <row r="709" spans="1:8" ht="15.6" x14ac:dyDescent="0.3">
      <c r="A709" s="79" t="s">
        <v>128</v>
      </c>
      <c r="B709" s="81" t="s">
        <v>220</v>
      </c>
      <c r="C709" s="80"/>
      <c r="D709" s="125"/>
      <c r="E709" s="78"/>
      <c r="F709" s="78"/>
      <c r="G709" s="78"/>
    </row>
    <row r="710" spans="1:8" ht="15.6" x14ac:dyDescent="0.3">
      <c r="A710" s="79" t="s">
        <v>130</v>
      </c>
      <c r="B710" s="81" t="s">
        <v>202</v>
      </c>
      <c r="C710" s="80"/>
      <c r="D710" s="125"/>
      <c r="E710" s="78"/>
      <c r="F710" s="78"/>
      <c r="G710" s="78"/>
    </row>
    <row r="711" spans="1:8" x14ac:dyDescent="0.3">
      <c r="C711" s="80"/>
      <c r="D711" s="125"/>
      <c r="E711" s="78"/>
      <c r="F711" s="78"/>
      <c r="G711" s="78"/>
    </row>
    <row r="712" spans="1:8" ht="15" thickBot="1" x14ac:dyDescent="0.35">
      <c r="A712" s="79" t="s">
        <v>161</v>
      </c>
      <c r="C712" s="80"/>
      <c r="D712" s="125"/>
      <c r="E712" s="78"/>
      <c r="F712" s="78"/>
      <c r="G712" s="78"/>
    </row>
    <row r="713" spans="1:8" ht="15" thickTop="1" x14ac:dyDescent="0.3">
      <c r="A713" s="84" t="s">
        <v>3</v>
      </c>
      <c r="B713" s="85" t="s">
        <v>135</v>
      </c>
      <c r="C713" s="86" t="s">
        <v>5</v>
      </c>
      <c r="D713" s="87" t="s">
        <v>6</v>
      </c>
      <c r="E713" s="88" t="s">
        <v>28</v>
      </c>
      <c r="F713" s="88" t="s">
        <v>28</v>
      </c>
      <c r="G713" s="89"/>
    </row>
    <row r="714" spans="1:8" ht="15" thickBot="1" x14ac:dyDescent="0.35">
      <c r="A714" s="90"/>
      <c r="B714" s="91"/>
      <c r="C714" s="92"/>
      <c r="D714" s="93"/>
      <c r="E714" s="94" t="s">
        <v>11</v>
      </c>
      <c r="F714" s="94" t="s">
        <v>10</v>
      </c>
      <c r="G714" s="89"/>
    </row>
    <row r="715" spans="1:8" ht="15" thickTop="1" x14ac:dyDescent="0.3">
      <c r="A715" s="95"/>
      <c r="B715" s="95" t="str">
        <f>LISTA!$C$67</f>
        <v>Ceramicos esmaltados de 20x20</v>
      </c>
      <c r="C715" s="126" t="str">
        <f>LISTA!$E$67</f>
        <v>M2</v>
      </c>
      <c r="D715" s="127">
        <v>1.05</v>
      </c>
      <c r="E715" s="146">
        <f>LISTA!$F$67</f>
        <v>75</v>
      </c>
      <c r="F715" s="134">
        <f>ROUND(D715*E715,2)</f>
        <v>78.75</v>
      </c>
      <c r="G715" s="100"/>
    </row>
    <row r="716" spans="1:8" x14ac:dyDescent="0.3">
      <c r="A716" s="102"/>
      <c r="B716" s="102" t="str">
        <f>LISTA!$C$68</f>
        <v>Cemento Blanco</v>
      </c>
      <c r="C716" s="108" t="str">
        <f>LISTA!$E$68</f>
        <v>Kg</v>
      </c>
      <c r="D716" s="109">
        <v>0.15</v>
      </c>
      <c r="E716" s="147">
        <f>LISTA!$F$68</f>
        <v>2400</v>
      </c>
      <c r="F716" s="100">
        <f>ROUND(D716*E716,2)</f>
        <v>360</v>
      </c>
      <c r="G716" s="100"/>
    </row>
    <row r="717" spans="1:8" x14ac:dyDescent="0.3">
      <c r="A717" s="102"/>
      <c r="B717" s="102" t="str">
        <f>LISTA!$C$70</f>
        <v>Adhesivo cementicio p/revest.</v>
      </c>
      <c r="C717" s="108" t="str">
        <f>LISTA!$E$70</f>
        <v>Kg</v>
      </c>
      <c r="D717" s="109">
        <v>3</v>
      </c>
      <c r="E717" s="147">
        <f>LISTA!$F$70</f>
        <v>1300</v>
      </c>
      <c r="F717" s="100">
        <f>ROUND(D717*E717,2)</f>
        <v>3900</v>
      </c>
      <c r="G717" s="100"/>
    </row>
    <row r="718" spans="1:8" x14ac:dyDescent="0.3">
      <c r="A718" s="114"/>
      <c r="B718" s="114"/>
      <c r="C718" s="115"/>
      <c r="D718" s="116" t="s">
        <v>165</v>
      </c>
      <c r="E718" s="117"/>
      <c r="F718" s="132"/>
      <c r="G718" s="113">
        <f>SUM(F715:F717)</f>
        <v>4338.75</v>
      </c>
      <c r="H718" s="91"/>
    </row>
    <row r="719" spans="1:8" ht="15" thickBot="1" x14ac:dyDescent="0.35">
      <c r="A719" s="79" t="s">
        <v>166</v>
      </c>
      <c r="C719" s="80"/>
      <c r="D719" s="125"/>
      <c r="E719" s="78"/>
      <c r="F719" s="78"/>
      <c r="G719" s="117"/>
    </row>
    <row r="720" spans="1:8" ht="15" thickTop="1" x14ac:dyDescent="0.3">
      <c r="A720" s="84" t="s">
        <v>3</v>
      </c>
      <c r="B720" s="85" t="s">
        <v>135</v>
      </c>
      <c r="C720" s="86" t="s">
        <v>5</v>
      </c>
      <c r="D720" s="87" t="s">
        <v>6</v>
      </c>
      <c r="E720" s="88" t="s">
        <v>28</v>
      </c>
      <c r="F720" s="88" t="s">
        <v>28</v>
      </c>
      <c r="G720" s="89"/>
    </row>
    <row r="721" spans="1:8" ht="15" thickBot="1" x14ac:dyDescent="0.35">
      <c r="A721" s="90"/>
      <c r="B721" s="91"/>
      <c r="C721" s="92"/>
      <c r="D721" s="93"/>
      <c r="E721" s="94" t="s">
        <v>11</v>
      </c>
      <c r="F721" s="94" t="s">
        <v>10</v>
      </c>
      <c r="G721" s="89"/>
    </row>
    <row r="722" spans="1:8" ht="15" thickTop="1" x14ac:dyDescent="0.3">
      <c r="A722" s="95"/>
      <c r="B722" s="95" t="s">
        <v>167</v>
      </c>
      <c r="C722" s="126" t="s">
        <v>168</v>
      </c>
      <c r="D722" s="127">
        <v>1.2</v>
      </c>
      <c r="E722" s="134">
        <f>F22</f>
        <v>1238.96</v>
      </c>
      <c r="F722" s="134">
        <f>ROUND(D722*E722,2)</f>
        <v>1486.75</v>
      </c>
      <c r="G722" s="100"/>
    </row>
    <row r="723" spans="1:8" x14ac:dyDescent="0.3">
      <c r="A723" s="102"/>
      <c r="B723" s="102" t="s">
        <v>221</v>
      </c>
      <c r="C723" s="108" t="s">
        <v>168</v>
      </c>
      <c r="D723" s="109">
        <v>0.6</v>
      </c>
      <c r="E723" s="100">
        <f>F39</f>
        <v>386.38</v>
      </c>
      <c r="F723" s="100">
        <f>ROUND(D723*E723,2)</f>
        <v>231.83</v>
      </c>
      <c r="G723" s="100"/>
    </row>
    <row r="724" spans="1:8" x14ac:dyDescent="0.3">
      <c r="A724" s="114"/>
      <c r="B724" s="114"/>
      <c r="C724" s="115"/>
      <c r="D724" s="116" t="s">
        <v>170</v>
      </c>
      <c r="E724" s="117"/>
      <c r="F724" s="132"/>
      <c r="G724" s="113">
        <f>SUM(F722:F723)</f>
        <v>1718.58</v>
      </c>
      <c r="H724" s="91"/>
    </row>
    <row r="725" spans="1:8" ht="15" thickBot="1" x14ac:dyDescent="0.35">
      <c r="C725" s="80"/>
      <c r="D725" s="125"/>
      <c r="E725" s="78"/>
      <c r="F725" s="78"/>
      <c r="G725" s="117"/>
    </row>
    <row r="726" spans="1:8" ht="15.6" thickTop="1" thickBot="1" x14ac:dyDescent="0.35">
      <c r="C726" s="80"/>
      <c r="D726" s="125" t="s">
        <v>171</v>
      </c>
      <c r="E726" s="78"/>
      <c r="F726" s="78"/>
      <c r="G726" s="135">
        <f>SUM(G718:G724)</f>
        <v>6057.33</v>
      </c>
      <c r="H726" s="136"/>
    </row>
    <row r="727" spans="1:8" ht="15" thickTop="1" x14ac:dyDescent="0.3">
      <c r="C727" s="80"/>
      <c r="D727" s="125"/>
      <c r="E727" s="78"/>
      <c r="F727" s="78"/>
      <c r="G727" s="137"/>
    </row>
    <row r="729" spans="1:8" ht="15.6" x14ac:dyDescent="0.3">
      <c r="A729" s="79" t="s">
        <v>128</v>
      </c>
      <c r="B729" s="81" t="s">
        <v>222</v>
      </c>
      <c r="C729" s="80"/>
      <c r="D729" s="125"/>
      <c r="E729" s="78"/>
      <c r="F729" s="78"/>
      <c r="G729" s="78"/>
    </row>
    <row r="730" spans="1:8" ht="15.6" x14ac:dyDescent="0.3">
      <c r="A730" s="79" t="s">
        <v>130</v>
      </c>
      <c r="B730" s="81" t="s">
        <v>202</v>
      </c>
      <c r="C730" s="80"/>
      <c r="D730" s="125"/>
      <c r="E730" s="78"/>
      <c r="F730" s="78"/>
      <c r="G730" s="78"/>
    </row>
    <row r="731" spans="1:8" x14ac:dyDescent="0.3">
      <c r="C731" s="80"/>
      <c r="D731" s="125"/>
      <c r="E731" s="78"/>
      <c r="F731" s="78"/>
      <c r="G731" s="78"/>
    </row>
    <row r="732" spans="1:8" ht="15" thickBot="1" x14ac:dyDescent="0.35">
      <c r="A732" s="79" t="s">
        <v>161</v>
      </c>
      <c r="C732" s="80"/>
      <c r="D732" s="125"/>
      <c r="E732" s="78"/>
      <c r="F732" s="78"/>
      <c r="G732" s="78"/>
    </row>
    <row r="733" spans="1:8" ht="15" thickTop="1" x14ac:dyDescent="0.3">
      <c r="A733" s="84" t="s">
        <v>3</v>
      </c>
      <c r="B733" s="85" t="s">
        <v>135</v>
      </c>
      <c r="C733" s="86" t="s">
        <v>5</v>
      </c>
      <c r="D733" s="87" t="s">
        <v>6</v>
      </c>
      <c r="E733" s="88" t="s">
        <v>28</v>
      </c>
      <c r="F733" s="88" t="s">
        <v>28</v>
      </c>
      <c r="G733" s="89"/>
    </row>
    <row r="734" spans="1:8" ht="15" thickBot="1" x14ac:dyDescent="0.35">
      <c r="A734" s="90"/>
      <c r="B734" s="91"/>
      <c r="C734" s="92"/>
      <c r="D734" s="93"/>
      <c r="E734" s="94" t="s">
        <v>11</v>
      </c>
      <c r="F734" s="94" t="s">
        <v>10</v>
      </c>
      <c r="G734" s="89"/>
    </row>
    <row r="735" spans="1:8" ht="15" thickTop="1" x14ac:dyDescent="0.3">
      <c r="A735" s="95"/>
      <c r="B735" s="95" t="str">
        <f>LISTA!C10</f>
        <v>Cemento</v>
      </c>
      <c r="C735" s="126" t="str">
        <f>LISTA!E10</f>
        <v>Kg</v>
      </c>
      <c r="D735" s="127">
        <v>3.6</v>
      </c>
      <c r="E735" s="134">
        <f>LISTA!F10</f>
        <v>6.15</v>
      </c>
      <c r="F735" s="134">
        <f>ROUND(D735*E735,2)</f>
        <v>22.14</v>
      </c>
      <c r="G735" s="100"/>
    </row>
    <row r="736" spans="1:8" x14ac:dyDescent="0.3">
      <c r="A736" s="102"/>
      <c r="B736" s="102" t="str">
        <f>LISTA!C11</f>
        <v xml:space="preserve">Arena </v>
      </c>
      <c r="C736" s="108" t="str">
        <f>LISTA!E11</f>
        <v>M3</v>
      </c>
      <c r="D736" s="109">
        <v>0.04</v>
      </c>
      <c r="E736" s="100">
        <f>LISTA!F11</f>
        <v>2890</v>
      </c>
      <c r="F736" s="100">
        <f>ROUND(D736*E736,2)</f>
        <v>115.6</v>
      </c>
      <c r="G736" s="100"/>
    </row>
    <row r="737" spans="1:8" x14ac:dyDescent="0.3">
      <c r="A737" s="102"/>
      <c r="B737" s="102" t="str">
        <f>LISTA!C44</f>
        <v>Cascote de ladrillos</v>
      </c>
      <c r="C737" s="108" t="str">
        <f>LISTA!E44</f>
        <v>M3</v>
      </c>
      <c r="D737" s="109">
        <v>0.06</v>
      </c>
      <c r="E737" s="100">
        <f>LISTA!F44</f>
        <v>4500</v>
      </c>
      <c r="F737" s="100">
        <f>ROUND(D737*E737,2)</f>
        <v>270</v>
      </c>
      <c r="G737" s="100"/>
    </row>
    <row r="738" spans="1:8" x14ac:dyDescent="0.3">
      <c r="A738" s="102"/>
      <c r="B738" s="102" t="str">
        <f>LISTA!C17</f>
        <v>Cal</v>
      </c>
      <c r="C738" s="108" t="str">
        <f>LISTA!E17</f>
        <v>Kg</v>
      </c>
      <c r="D738" s="109">
        <v>6.3</v>
      </c>
      <c r="E738" s="100">
        <f>LISTA!F17</f>
        <v>3.9</v>
      </c>
      <c r="F738" s="100">
        <f>ROUND(D738*E738,2)</f>
        <v>24.57</v>
      </c>
      <c r="G738" s="100"/>
    </row>
    <row r="739" spans="1:8" x14ac:dyDescent="0.3">
      <c r="A739" s="102"/>
      <c r="B739" s="102"/>
      <c r="C739" s="108"/>
      <c r="D739" s="109"/>
      <c r="E739" s="100"/>
      <c r="F739" s="100"/>
      <c r="G739" s="102"/>
    </row>
    <row r="740" spans="1:8" x14ac:dyDescent="0.3">
      <c r="A740" s="114"/>
      <c r="B740" s="114"/>
      <c r="C740" s="115"/>
      <c r="D740" s="116" t="s">
        <v>165</v>
      </c>
      <c r="E740" s="117"/>
      <c r="F740" s="132"/>
      <c r="G740" s="113">
        <f>SUM(F735:F739)</f>
        <v>432.31</v>
      </c>
      <c r="H740" s="91"/>
    </row>
    <row r="741" spans="1:8" x14ac:dyDescent="0.3">
      <c r="C741" s="80"/>
      <c r="D741" s="125"/>
      <c r="E741" s="78"/>
      <c r="F741" s="78"/>
      <c r="G741" s="117"/>
    </row>
    <row r="742" spans="1:8" ht="15" thickBot="1" x14ac:dyDescent="0.35">
      <c r="A742" s="79" t="s">
        <v>166</v>
      </c>
      <c r="C742" s="80"/>
      <c r="D742" s="125"/>
      <c r="E742" s="78"/>
      <c r="F742" s="78"/>
      <c r="G742" s="78"/>
    </row>
    <row r="743" spans="1:8" ht="15" thickTop="1" x14ac:dyDescent="0.3">
      <c r="A743" s="84" t="s">
        <v>3</v>
      </c>
      <c r="B743" s="85" t="s">
        <v>135</v>
      </c>
      <c r="C743" s="86" t="s">
        <v>5</v>
      </c>
      <c r="D743" s="87" t="s">
        <v>6</v>
      </c>
      <c r="E743" s="88" t="s">
        <v>28</v>
      </c>
      <c r="F743" s="88" t="s">
        <v>28</v>
      </c>
      <c r="G743" s="89"/>
    </row>
    <row r="744" spans="1:8" ht="15" thickBot="1" x14ac:dyDescent="0.35">
      <c r="A744" s="90"/>
      <c r="B744" s="91"/>
      <c r="C744" s="92"/>
      <c r="D744" s="93"/>
      <c r="E744" s="94" t="s">
        <v>11</v>
      </c>
      <c r="F744" s="94" t="s">
        <v>10</v>
      </c>
      <c r="G744" s="89"/>
    </row>
    <row r="745" spans="1:8" ht="15" thickTop="1" x14ac:dyDescent="0.3">
      <c r="A745" s="95"/>
      <c r="B745" s="95" t="s">
        <v>167</v>
      </c>
      <c r="C745" s="126" t="s">
        <v>168</v>
      </c>
      <c r="D745" s="127">
        <v>0.5</v>
      </c>
      <c r="E745" s="134">
        <f>$F$22</f>
        <v>1238.96</v>
      </c>
      <c r="F745" s="134">
        <f>ROUND(D745*E745,2)</f>
        <v>619.48</v>
      </c>
      <c r="G745" s="100"/>
    </row>
    <row r="746" spans="1:8" x14ac:dyDescent="0.3">
      <c r="A746" s="102"/>
      <c r="B746" s="102" t="s">
        <v>169</v>
      </c>
      <c r="C746" s="108" t="s">
        <v>168</v>
      </c>
      <c r="D746" s="109">
        <v>0.7</v>
      </c>
      <c r="E746" s="100">
        <f>$F$39</f>
        <v>386.38</v>
      </c>
      <c r="F746" s="100">
        <f>ROUND(D746*E746,2)</f>
        <v>270.47000000000003</v>
      </c>
      <c r="G746" s="100"/>
    </row>
    <row r="747" spans="1:8" x14ac:dyDescent="0.3">
      <c r="A747" s="114"/>
      <c r="B747" s="114"/>
      <c r="C747" s="115"/>
      <c r="D747" s="116" t="s">
        <v>170</v>
      </c>
      <c r="E747" s="117"/>
      <c r="F747" s="132"/>
      <c r="G747" s="113">
        <f>SUM(F745:F746)</f>
        <v>889.95</v>
      </c>
      <c r="H747" s="91"/>
    </row>
    <row r="748" spans="1:8" ht="15" thickBot="1" x14ac:dyDescent="0.35">
      <c r="C748" s="80"/>
      <c r="D748" s="125"/>
      <c r="E748" s="78"/>
      <c r="F748" s="78"/>
      <c r="G748" s="117"/>
    </row>
    <row r="749" spans="1:8" ht="15.6" thickTop="1" thickBot="1" x14ac:dyDescent="0.35">
      <c r="C749" s="80"/>
      <c r="D749" s="125" t="s">
        <v>171</v>
      </c>
      <c r="E749" s="78"/>
      <c r="F749" s="78"/>
      <c r="G749" s="135">
        <f>SUM(G740:G747)</f>
        <v>1322.26</v>
      </c>
      <c r="H749" s="136"/>
    </row>
    <row r="750" spans="1:8" ht="15" thickTop="1" x14ac:dyDescent="0.3">
      <c r="C750" s="80"/>
      <c r="D750" s="125"/>
      <c r="E750" s="78"/>
      <c r="F750" s="78"/>
      <c r="G750" s="137"/>
    </row>
    <row r="751" spans="1:8" ht="15.6" x14ac:dyDescent="0.3">
      <c r="A751" s="79" t="s">
        <v>128</v>
      </c>
      <c r="B751" s="81" t="s">
        <v>223</v>
      </c>
      <c r="C751" s="80"/>
      <c r="D751" s="125"/>
      <c r="E751" s="78"/>
      <c r="F751" s="78"/>
      <c r="G751" s="78"/>
    </row>
    <row r="752" spans="1:8" ht="15.6" x14ac:dyDescent="0.3">
      <c r="A752" s="79" t="s">
        <v>130</v>
      </c>
      <c r="B752" s="81" t="s">
        <v>202</v>
      </c>
      <c r="C752" s="80"/>
      <c r="D752" s="125"/>
      <c r="E752" s="78"/>
      <c r="F752" s="78"/>
      <c r="G752" s="78"/>
    </row>
    <row r="753" spans="1:8" x14ac:dyDescent="0.3">
      <c r="C753" s="80"/>
      <c r="D753" s="125"/>
      <c r="E753" s="78"/>
      <c r="F753" s="78"/>
      <c r="G753" s="78"/>
    </row>
    <row r="754" spans="1:8" ht="15" thickBot="1" x14ac:dyDescent="0.35">
      <c r="A754" s="79" t="s">
        <v>161</v>
      </c>
      <c r="C754" s="80"/>
      <c r="D754" s="125"/>
      <c r="E754" s="78"/>
      <c r="F754" s="78"/>
      <c r="G754" s="78"/>
    </row>
    <row r="755" spans="1:8" ht="15" thickTop="1" x14ac:dyDescent="0.3">
      <c r="A755" s="84" t="s">
        <v>3</v>
      </c>
      <c r="B755" s="85" t="s">
        <v>135</v>
      </c>
      <c r="C755" s="86" t="s">
        <v>5</v>
      </c>
      <c r="D755" s="87" t="s">
        <v>6</v>
      </c>
      <c r="E755" s="88" t="s">
        <v>28</v>
      </c>
      <c r="F755" s="88" t="s">
        <v>28</v>
      </c>
      <c r="G755" s="89"/>
    </row>
    <row r="756" spans="1:8" ht="15" thickBot="1" x14ac:dyDescent="0.35">
      <c r="A756" s="90"/>
      <c r="B756" s="91"/>
      <c r="C756" s="92"/>
      <c r="D756" s="93"/>
      <c r="E756" s="94" t="s">
        <v>11</v>
      </c>
      <c r="F756" s="94" t="s">
        <v>10</v>
      </c>
      <c r="G756" s="89"/>
    </row>
    <row r="757" spans="1:8" ht="15" thickTop="1" x14ac:dyDescent="0.3">
      <c r="A757" s="95"/>
      <c r="B757" s="95" t="str">
        <f>LISTA!$C$10</f>
        <v>Cemento</v>
      </c>
      <c r="C757" s="126" t="str">
        <f>LISTA!$E$10</f>
        <v>Kg</v>
      </c>
      <c r="D757" s="127">
        <f>40*0.12</f>
        <v>4.8</v>
      </c>
      <c r="E757" s="134">
        <f>LISTA!$F$10</f>
        <v>6.15</v>
      </c>
      <c r="F757" s="134">
        <f>ROUND(D757*E757,2)</f>
        <v>29.52</v>
      </c>
      <c r="G757" s="100"/>
    </row>
    <row r="758" spans="1:8" x14ac:dyDescent="0.3">
      <c r="A758" s="102"/>
      <c r="B758" s="102" t="str">
        <f>LISTA!$C$11</f>
        <v xml:space="preserve">Arena </v>
      </c>
      <c r="C758" s="108" t="str">
        <f>LISTA!$E$11</f>
        <v>M3</v>
      </c>
      <c r="D758" s="109">
        <f>0.5*0.12</f>
        <v>0.06</v>
      </c>
      <c r="E758" s="100">
        <f>LISTA!$F$11</f>
        <v>2890</v>
      </c>
      <c r="F758" s="100">
        <f>ROUND(D758*E758,2)</f>
        <v>173.4</v>
      </c>
      <c r="G758" s="100"/>
    </row>
    <row r="759" spans="1:8" x14ac:dyDescent="0.3">
      <c r="A759" s="102"/>
      <c r="B759" s="102" t="str">
        <f>LISTA!$C$44</f>
        <v>Cascote de ladrillos</v>
      </c>
      <c r="C759" s="108" t="str">
        <f>LISTA!$E$44</f>
        <v>M3</v>
      </c>
      <c r="D759" s="109">
        <f>0.76*0.12</f>
        <v>9.1200000000000003E-2</v>
      </c>
      <c r="E759" s="100">
        <f>LISTA!$F$44</f>
        <v>4500</v>
      </c>
      <c r="F759" s="100">
        <f>ROUND(D759*E759,2)</f>
        <v>410.4</v>
      </c>
      <c r="G759" s="100"/>
    </row>
    <row r="760" spans="1:8" x14ac:dyDescent="0.3">
      <c r="A760" s="102"/>
      <c r="B760" s="102" t="str">
        <f>LISTA!$C$17</f>
        <v>Cal</v>
      </c>
      <c r="C760" s="108" t="str">
        <f>LISTA!$E$17</f>
        <v>Kg</v>
      </c>
      <c r="D760" s="109">
        <f>78*0.12</f>
        <v>9.36</v>
      </c>
      <c r="E760" s="100">
        <f>LISTA!$F$17</f>
        <v>3.9</v>
      </c>
      <c r="F760" s="100">
        <f>ROUND(D760*E760,2)</f>
        <v>36.5</v>
      </c>
      <c r="G760" s="100"/>
    </row>
    <row r="761" spans="1:8" x14ac:dyDescent="0.3">
      <c r="A761" s="102"/>
      <c r="B761" s="102"/>
      <c r="C761" s="108"/>
      <c r="D761" s="109"/>
      <c r="E761" s="100"/>
      <c r="F761" s="100"/>
      <c r="G761" s="102"/>
    </row>
    <row r="762" spans="1:8" x14ac:dyDescent="0.3">
      <c r="A762" s="114"/>
      <c r="B762" s="114"/>
      <c r="C762" s="115"/>
      <c r="D762" s="116" t="s">
        <v>165</v>
      </c>
      <c r="E762" s="117"/>
      <c r="F762" s="132"/>
      <c r="G762" s="113">
        <f>SUM(F757:F761)</f>
        <v>649.81999999999994</v>
      </c>
      <c r="H762" s="91"/>
    </row>
    <row r="763" spans="1:8" x14ac:dyDescent="0.3">
      <c r="C763" s="80"/>
      <c r="D763" s="125"/>
      <c r="E763" s="78"/>
      <c r="F763" s="78"/>
      <c r="G763" s="117"/>
    </row>
    <row r="764" spans="1:8" ht="15" thickBot="1" x14ac:dyDescent="0.35">
      <c r="A764" s="79" t="s">
        <v>166</v>
      </c>
      <c r="C764" s="80"/>
      <c r="D764" s="125"/>
      <c r="E764" s="78"/>
      <c r="F764" s="78"/>
      <c r="G764" s="78"/>
    </row>
    <row r="765" spans="1:8" ht="15" thickTop="1" x14ac:dyDescent="0.3">
      <c r="A765" s="84" t="s">
        <v>3</v>
      </c>
      <c r="B765" s="85" t="s">
        <v>135</v>
      </c>
      <c r="C765" s="86" t="s">
        <v>5</v>
      </c>
      <c r="D765" s="87" t="s">
        <v>6</v>
      </c>
      <c r="E765" s="88" t="s">
        <v>28</v>
      </c>
      <c r="F765" s="88" t="s">
        <v>28</v>
      </c>
      <c r="G765" s="89"/>
    </row>
    <row r="766" spans="1:8" ht="15" thickBot="1" x14ac:dyDescent="0.35">
      <c r="A766" s="90"/>
      <c r="B766" s="91"/>
      <c r="C766" s="92"/>
      <c r="D766" s="93"/>
      <c r="E766" s="94" t="s">
        <v>11</v>
      </c>
      <c r="F766" s="94" t="s">
        <v>10</v>
      </c>
      <c r="G766" s="89"/>
    </row>
    <row r="767" spans="1:8" ht="15" thickTop="1" x14ac:dyDescent="0.3">
      <c r="A767" s="95"/>
      <c r="B767" s="95" t="s">
        <v>167</v>
      </c>
      <c r="C767" s="126" t="s">
        <v>168</v>
      </c>
      <c r="D767" s="127">
        <v>0.65</v>
      </c>
      <c r="E767" s="134">
        <f>$F$22</f>
        <v>1238.96</v>
      </c>
      <c r="F767" s="134">
        <f>ROUND(D767*E767,2)</f>
        <v>805.32</v>
      </c>
      <c r="G767" s="100"/>
    </row>
    <row r="768" spans="1:8" x14ac:dyDescent="0.3">
      <c r="A768" s="102"/>
      <c r="B768" s="102" t="s">
        <v>169</v>
      </c>
      <c r="C768" s="108" t="s">
        <v>168</v>
      </c>
      <c r="D768" s="109">
        <v>0.7</v>
      </c>
      <c r="E768" s="100">
        <f>$F$39</f>
        <v>386.38</v>
      </c>
      <c r="F768" s="100">
        <f>ROUND(D768*E768,2)</f>
        <v>270.47000000000003</v>
      </c>
      <c r="G768" s="100"/>
    </row>
    <row r="769" spans="1:8" x14ac:dyDescent="0.3">
      <c r="A769" s="114"/>
      <c r="B769" s="114"/>
      <c r="C769" s="115"/>
      <c r="D769" s="116" t="s">
        <v>170</v>
      </c>
      <c r="E769" s="117"/>
      <c r="F769" s="132"/>
      <c r="G769" s="113">
        <f>SUM(F767:F768)</f>
        <v>1075.79</v>
      </c>
      <c r="H769" s="91"/>
    </row>
    <row r="770" spans="1:8" ht="15" thickBot="1" x14ac:dyDescent="0.35">
      <c r="C770" s="80"/>
      <c r="D770" s="125"/>
      <c r="E770" s="78"/>
      <c r="F770" s="78"/>
      <c r="G770" s="117"/>
    </row>
    <row r="771" spans="1:8" ht="15.6" thickTop="1" thickBot="1" x14ac:dyDescent="0.35">
      <c r="C771" s="80"/>
      <c r="D771" s="125" t="s">
        <v>171</v>
      </c>
      <c r="E771" s="78"/>
      <c r="F771" s="78"/>
      <c r="G771" s="135">
        <f>SUM(G762:G769)</f>
        <v>1725.61</v>
      </c>
      <c r="H771" s="136"/>
    </row>
    <row r="772" spans="1:8" ht="15" thickTop="1" x14ac:dyDescent="0.3">
      <c r="C772" s="80"/>
      <c r="D772" s="125"/>
      <c r="E772" s="78"/>
      <c r="F772" s="78"/>
      <c r="G772" s="137"/>
    </row>
    <row r="773" spans="1:8" ht="15.6" x14ac:dyDescent="0.3">
      <c r="A773" s="79" t="s">
        <v>128</v>
      </c>
      <c r="B773" s="81" t="s">
        <v>224</v>
      </c>
      <c r="C773" s="80"/>
      <c r="D773" s="125"/>
      <c r="E773" s="78"/>
      <c r="F773" s="78"/>
      <c r="G773" s="78"/>
    </row>
    <row r="774" spans="1:8" ht="15.6" x14ac:dyDescent="0.3">
      <c r="A774" s="79" t="s">
        <v>130</v>
      </c>
      <c r="B774" s="81" t="s">
        <v>202</v>
      </c>
      <c r="C774" s="80"/>
      <c r="D774" s="125"/>
      <c r="E774" s="78"/>
      <c r="F774" s="78"/>
      <c r="G774" s="78"/>
    </row>
    <row r="775" spans="1:8" x14ac:dyDescent="0.3">
      <c r="C775" s="80"/>
      <c r="D775" s="125"/>
      <c r="E775" s="78"/>
      <c r="F775" s="78"/>
      <c r="G775" s="78"/>
    </row>
    <row r="776" spans="1:8" ht="15" thickBot="1" x14ac:dyDescent="0.35">
      <c r="A776" s="79" t="s">
        <v>161</v>
      </c>
      <c r="C776" s="80"/>
      <c r="D776" s="125"/>
      <c r="E776" s="78"/>
      <c r="F776" s="78"/>
      <c r="G776" s="78"/>
    </row>
    <row r="777" spans="1:8" ht="15" thickTop="1" x14ac:dyDescent="0.3">
      <c r="A777" s="84" t="s">
        <v>3</v>
      </c>
      <c r="B777" s="85" t="s">
        <v>135</v>
      </c>
      <c r="C777" s="86" t="s">
        <v>5</v>
      </c>
      <c r="D777" s="87" t="s">
        <v>6</v>
      </c>
      <c r="E777" s="88" t="s">
        <v>28</v>
      </c>
      <c r="F777" s="88" t="s">
        <v>28</v>
      </c>
      <c r="G777" s="89"/>
    </row>
    <row r="778" spans="1:8" ht="15" thickBot="1" x14ac:dyDescent="0.35">
      <c r="A778" s="90"/>
      <c r="B778" s="91"/>
      <c r="C778" s="92"/>
      <c r="D778" s="93"/>
      <c r="E778" s="94" t="s">
        <v>11</v>
      </c>
      <c r="F778" s="94" t="s">
        <v>10</v>
      </c>
      <c r="G778" s="89"/>
    </row>
    <row r="779" spans="1:8" ht="15" thickTop="1" x14ac:dyDescent="0.3">
      <c r="A779" s="95"/>
      <c r="B779" s="95" t="str">
        <f>LISTA!$C$10</f>
        <v>Cemento</v>
      </c>
      <c r="C779" s="126" t="str">
        <f>LISTA!$E$10</f>
        <v>Kg</v>
      </c>
      <c r="D779" s="127">
        <f>40*0.1</f>
        <v>4</v>
      </c>
      <c r="E779" s="134">
        <f>LISTA!$F$10</f>
        <v>6.15</v>
      </c>
      <c r="F779" s="134">
        <f>ROUND(D779*E779,2)</f>
        <v>24.6</v>
      </c>
      <c r="G779" s="100"/>
    </row>
    <row r="780" spans="1:8" x14ac:dyDescent="0.3">
      <c r="A780" s="102"/>
      <c r="B780" s="102" t="str">
        <f>LISTA!$C$11</f>
        <v xml:space="preserve">Arena </v>
      </c>
      <c r="C780" s="108" t="str">
        <f>LISTA!$E$11</f>
        <v>M3</v>
      </c>
      <c r="D780" s="109">
        <f>0.5*0.1</f>
        <v>0.05</v>
      </c>
      <c r="E780" s="100">
        <f>LISTA!$F$11</f>
        <v>2890</v>
      </c>
      <c r="F780" s="100">
        <f>ROUND(D780*E780,2)</f>
        <v>144.5</v>
      </c>
      <c r="G780" s="100"/>
    </row>
    <row r="781" spans="1:8" x14ac:dyDescent="0.3">
      <c r="A781" s="102"/>
      <c r="B781" s="102" t="str">
        <f>LISTA!$C$44</f>
        <v>Cascote de ladrillos</v>
      </c>
      <c r="C781" s="108" t="str">
        <f>LISTA!$E$44</f>
        <v>M3</v>
      </c>
      <c r="D781" s="109">
        <f>0.76*0.1</f>
        <v>7.6000000000000012E-2</v>
      </c>
      <c r="E781" s="100">
        <f>LISTA!$F$44</f>
        <v>4500</v>
      </c>
      <c r="F781" s="100">
        <f>ROUND(D781*E781,2)</f>
        <v>342</v>
      </c>
      <c r="G781" s="100"/>
    </row>
    <row r="782" spans="1:8" x14ac:dyDescent="0.3">
      <c r="A782" s="102"/>
      <c r="B782" s="102" t="str">
        <f>LISTA!$C$17</f>
        <v>Cal</v>
      </c>
      <c r="C782" s="108" t="str">
        <f>LISTA!$E$17</f>
        <v>Kg</v>
      </c>
      <c r="D782" s="109">
        <f>78*0.1</f>
        <v>7.8000000000000007</v>
      </c>
      <c r="E782" s="100">
        <f>LISTA!$F$17</f>
        <v>3.9</v>
      </c>
      <c r="F782" s="100">
        <f>ROUND(D782*E782,2)</f>
        <v>30.42</v>
      </c>
      <c r="G782" s="100"/>
    </row>
    <row r="783" spans="1:8" x14ac:dyDescent="0.3">
      <c r="A783" s="102"/>
      <c r="B783" s="102"/>
      <c r="C783" s="108"/>
      <c r="D783" s="109"/>
      <c r="E783" s="100"/>
      <c r="F783" s="100"/>
      <c r="G783" s="102"/>
    </row>
    <row r="784" spans="1:8" x14ac:dyDescent="0.3">
      <c r="A784" s="114"/>
      <c r="B784" s="114"/>
      <c r="C784" s="115"/>
      <c r="D784" s="116" t="s">
        <v>165</v>
      </c>
      <c r="E784" s="117"/>
      <c r="F784" s="132"/>
      <c r="G784" s="113">
        <f>SUM(F779:F783)</f>
        <v>541.52</v>
      </c>
      <c r="H784" s="91"/>
    </row>
    <row r="785" spans="1:8" x14ac:dyDescent="0.3">
      <c r="C785" s="80"/>
      <c r="D785" s="125"/>
      <c r="E785" s="78"/>
      <c r="F785" s="78"/>
      <c r="G785" s="117"/>
    </row>
    <row r="786" spans="1:8" ht="15" thickBot="1" x14ac:dyDescent="0.35">
      <c r="A786" s="79" t="s">
        <v>166</v>
      </c>
      <c r="C786" s="80"/>
      <c r="D786" s="125"/>
      <c r="E786" s="78"/>
      <c r="F786" s="78"/>
      <c r="G786" s="78"/>
    </row>
    <row r="787" spans="1:8" ht="15" thickTop="1" x14ac:dyDescent="0.3">
      <c r="A787" s="84" t="s">
        <v>3</v>
      </c>
      <c r="B787" s="85" t="s">
        <v>135</v>
      </c>
      <c r="C787" s="86" t="s">
        <v>5</v>
      </c>
      <c r="D787" s="87" t="s">
        <v>6</v>
      </c>
      <c r="E787" s="88" t="s">
        <v>28</v>
      </c>
      <c r="F787" s="88" t="s">
        <v>28</v>
      </c>
      <c r="G787" s="89"/>
    </row>
    <row r="788" spans="1:8" ht="15" thickBot="1" x14ac:dyDescent="0.35">
      <c r="A788" s="90"/>
      <c r="B788" s="91"/>
      <c r="C788" s="92"/>
      <c r="D788" s="93"/>
      <c r="E788" s="94" t="s">
        <v>11</v>
      </c>
      <c r="F788" s="94" t="s">
        <v>10</v>
      </c>
      <c r="G788" s="89"/>
    </row>
    <row r="789" spans="1:8" ht="15" thickTop="1" x14ac:dyDescent="0.3">
      <c r="A789" s="95"/>
      <c r="B789" s="95" t="s">
        <v>167</v>
      </c>
      <c r="C789" s="126" t="s">
        <v>168</v>
      </c>
      <c r="D789" s="127">
        <v>0.7</v>
      </c>
      <c r="E789" s="134">
        <f>$F$22</f>
        <v>1238.96</v>
      </c>
      <c r="F789" s="134">
        <f>ROUND(D789*E789,2)</f>
        <v>867.27</v>
      </c>
      <c r="G789" s="100"/>
    </row>
    <row r="790" spans="1:8" x14ac:dyDescent="0.3">
      <c r="A790" s="102"/>
      <c r="B790" s="102" t="s">
        <v>169</v>
      </c>
      <c r="C790" s="108" t="s">
        <v>168</v>
      </c>
      <c r="D790" s="109">
        <v>0.8</v>
      </c>
      <c r="E790" s="100">
        <f>$F$39</f>
        <v>386.38</v>
      </c>
      <c r="F790" s="100">
        <f>ROUND(D790*E790,2)</f>
        <v>309.10000000000002</v>
      </c>
      <c r="G790" s="100"/>
    </row>
    <row r="791" spans="1:8" x14ac:dyDescent="0.3">
      <c r="A791" s="114"/>
      <c r="B791" s="114"/>
      <c r="C791" s="115"/>
      <c r="D791" s="116" t="s">
        <v>170</v>
      </c>
      <c r="E791" s="117"/>
      <c r="F791" s="132"/>
      <c r="G791" s="113">
        <f>SUM(F789:F790)</f>
        <v>1176.3699999999999</v>
      </c>
      <c r="H791" s="91"/>
    </row>
    <row r="792" spans="1:8" ht="15" thickBot="1" x14ac:dyDescent="0.35">
      <c r="C792" s="80"/>
      <c r="D792" s="125"/>
      <c r="E792" s="78"/>
      <c r="F792" s="78"/>
      <c r="G792" s="117"/>
    </row>
    <row r="793" spans="1:8" ht="15.6" thickTop="1" thickBot="1" x14ac:dyDescent="0.35">
      <c r="C793" s="80"/>
      <c r="D793" s="125" t="s">
        <v>171</v>
      </c>
      <c r="E793" s="78"/>
      <c r="F793" s="78"/>
      <c r="G793" s="135">
        <f>SUM(G784:G791)</f>
        <v>1717.8899999999999</v>
      </c>
      <c r="H793" s="136"/>
    </row>
    <row r="794" spans="1:8" ht="15" thickTop="1" x14ac:dyDescent="0.3">
      <c r="C794" s="80"/>
      <c r="D794" s="125"/>
      <c r="E794" s="78"/>
      <c r="F794" s="78"/>
      <c r="G794" s="137"/>
    </row>
    <row r="795" spans="1:8" ht="15.6" x14ac:dyDescent="0.3">
      <c r="A795" s="79" t="s">
        <v>128</v>
      </c>
      <c r="B795" s="81" t="s">
        <v>225</v>
      </c>
      <c r="C795" s="80"/>
      <c r="D795" s="125"/>
      <c r="E795" s="78"/>
      <c r="F795" s="78"/>
      <c r="G795" s="78"/>
    </row>
    <row r="796" spans="1:8" ht="15.6" x14ac:dyDescent="0.3">
      <c r="A796" s="79" t="s">
        <v>130</v>
      </c>
      <c r="B796" s="81" t="s">
        <v>202</v>
      </c>
      <c r="C796" s="80"/>
      <c r="D796" s="125"/>
      <c r="E796" s="78"/>
      <c r="F796" s="78"/>
      <c r="G796" s="78"/>
    </row>
    <row r="797" spans="1:8" x14ac:dyDescent="0.3">
      <c r="C797" s="80"/>
      <c r="D797" s="125"/>
      <c r="E797" s="78"/>
      <c r="F797" s="78"/>
      <c r="G797" s="78"/>
    </row>
    <row r="798" spans="1:8" ht="15" thickBot="1" x14ac:dyDescent="0.35">
      <c r="A798" s="79" t="s">
        <v>161</v>
      </c>
      <c r="C798" s="80"/>
      <c r="D798" s="125"/>
      <c r="E798" s="78"/>
      <c r="F798" s="78"/>
      <c r="G798" s="78"/>
    </row>
    <row r="799" spans="1:8" ht="15" thickTop="1" x14ac:dyDescent="0.3">
      <c r="A799" s="84" t="s">
        <v>3</v>
      </c>
      <c r="B799" s="85" t="s">
        <v>135</v>
      </c>
      <c r="C799" s="86" t="s">
        <v>5</v>
      </c>
      <c r="D799" s="87" t="s">
        <v>6</v>
      </c>
      <c r="E799" s="88" t="s">
        <v>28</v>
      </c>
      <c r="F799" s="88" t="s">
        <v>28</v>
      </c>
      <c r="G799" s="89"/>
    </row>
    <row r="800" spans="1:8" ht="15" thickBot="1" x14ac:dyDescent="0.35">
      <c r="A800" s="90"/>
      <c r="B800" s="91"/>
      <c r="C800" s="92"/>
      <c r="D800" s="93"/>
      <c r="E800" s="94" t="s">
        <v>11</v>
      </c>
      <c r="F800" s="94" t="s">
        <v>10</v>
      </c>
      <c r="G800" s="89"/>
    </row>
    <row r="801" spans="1:8" ht="15" thickTop="1" x14ac:dyDescent="0.3">
      <c r="A801" s="95"/>
      <c r="B801" s="95" t="str">
        <f>LISTA!$C$10</f>
        <v>Cemento</v>
      </c>
      <c r="C801" s="126" t="str">
        <f>LISTA!$E$10</f>
        <v>Kg</v>
      </c>
      <c r="D801" s="127">
        <f>40*0.1</f>
        <v>4</v>
      </c>
      <c r="E801" s="134">
        <f>LISTA!$F$10</f>
        <v>6.15</v>
      </c>
      <c r="F801" s="134">
        <f>ROUND(D801*E801,2)</f>
        <v>24.6</v>
      </c>
      <c r="G801" s="100"/>
    </row>
    <row r="802" spans="1:8" x14ac:dyDescent="0.3">
      <c r="A802" s="102"/>
      <c r="B802" s="102" t="str">
        <f>LISTA!$C$11</f>
        <v xml:space="preserve">Arena </v>
      </c>
      <c r="C802" s="108" t="str">
        <f>LISTA!$E$11</f>
        <v>M3</v>
      </c>
      <c r="D802" s="109">
        <f>0.5*0.1</f>
        <v>0.05</v>
      </c>
      <c r="E802" s="100">
        <f>LISTA!$F$11</f>
        <v>2890</v>
      </c>
      <c r="F802" s="100">
        <f>ROUND(D802*E802,2)</f>
        <v>144.5</v>
      </c>
      <c r="G802" s="100"/>
    </row>
    <row r="803" spans="1:8" x14ac:dyDescent="0.3">
      <c r="A803" s="102"/>
      <c r="B803" s="102" t="str">
        <f>LISTA!$C$44</f>
        <v>Cascote de ladrillos</v>
      </c>
      <c r="C803" s="108" t="str">
        <f>LISTA!$E$44</f>
        <v>M3</v>
      </c>
      <c r="D803" s="109">
        <f>0.76*0.1</f>
        <v>7.6000000000000012E-2</v>
      </c>
      <c r="E803" s="100">
        <f>LISTA!$F$44</f>
        <v>4500</v>
      </c>
      <c r="F803" s="100">
        <f>ROUND(D803*E803,2)</f>
        <v>342</v>
      </c>
      <c r="G803" s="100"/>
    </row>
    <row r="804" spans="1:8" x14ac:dyDescent="0.3">
      <c r="A804" s="102"/>
      <c r="B804" s="102" t="str">
        <f>LISTA!$C$17</f>
        <v>Cal</v>
      </c>
      <c r="C804" s="108" t="str">
        <f>LISTA!$E$17</f>
        <v>Kg</v>
      </c>
      <c r="D804" s="109">
        <f>78*0.1</f>
        <v>7.8000000000000007</v>
      </c>
      <c r="E804" s="100">
        <f>LISTA!$F$17</f>
        <v>3.9</v>
      </c>
      <c r="F804" s="100">
        <f>ROUND(D804*E804,2)</f>
        <v>30.42</v>
      </c>
      <c r="G804" s="100"/>
    </row>
    <row r="805" spans="1:8" x14ac:dyDescent="0.3">
      <c r="A805" s="114"/>
      <c r="B805" s="114"/>
      <c r="C805" s="115"/>
      <c r="D805" s="116" t="s">
        <v>165</v>
      </c>
      <c r="E805" s="117"/>
      <c r="F805" s="132"/>
      <c r="G805" s="113">
        <f>SUM(F801:F804)</f>
        <v>541.52</v>
      </c>
      <c r="H805" s="91"/>
    </row>
    <row r="806" spans="1:8" x14ac:dyDescent="0.3">
      <c r="C806" s="80"/>
      <c r="D806" s="125"/>
      <c r="E806" s="78"/>
      <c r="F806" s="78"/>
      <c r="G806" s="117"/>
    </row>
    <row r="807" spans="1:8" ht="15" thickBot="1" x14ac:dyDescent="0.35">
      <c r="A807" s="79" t="s">
        <v>166</v>
      </c>
      <c r="C807" s="80"/>
      <c r="D807" s="125"/>
      <c r="E807" s="78"/>
      <c r="F807" s="78"/>
      <c r="G807" s="78"/>
    </row>
    <row r="808" spans="1:8" ht="15" thickTop="1" x14ac:dyDescent="0.3">
      <c r="A808" s="84" t="s">
        <v>3</v>
      </c>
      <c r="B808" s="85" t="s">
        <v>135</v>
      </c>
      <c r="C808" s="86" t="s">
        <v>5</v>
      </c>
      <c r="D808" s="87" t="s">
        <v>6</v>
      </c>
      <c r="E808" s="88" t="s">
        <v>28</v>
      </c>
      <c r="F808" s="88" t="s">
        <v>28</v>
      </c>
      <c r="G808" s="89"/>
    </row>
    <row r="809" spans="1:8" ht="15" thickBot="1" x14ac:dyDescent="0.35">
      <c r="A809" s="90"/>
      <c r="B809" s="91"/>
      <c r="C809" s="92"/>
      <c r="D809" s="93"/>
      <c r="E809" s="94" t="s">
        <v>11</v>
      </c>
      <c r="F809" s="94" t="s">
        <v>10</v>
      </c>
      <c r="G809" s="89"/>
    </row>
    <row r="810" spans="1:8" ht="15" thickTop="1" x14ac:dyDescent="0.3">
      <c r="A810" s="95"/>
      <c r="B810" s="95" t="s">
        <v>167</v>
      </c>
      <c r="C810" s="126" t="s">
        <v>168</v>
      </c>
      <c r="D810" s="127">
        <v>0.6</v>
      </c>
      <c r="E810" s="134">
        <f>$F$22</f>
        <v>1238.96</v>
      </c>
      <c r="F810" s="134">
        <f>ROUND(D810*E810,2)</f>
        <v>743.38</v>
      </c>
      <c r="G810" s="100"/>
    </row>
    <row r="811" spans="1:8" x14ac:dyDescent="0.3">
      <c r="A811" s="102"/>
      <c r="B811" s="102" t="s">
        <v>169</v>
      </c>
      <c r="C811" s="108" t="s">
        <v>168</v>
      </c>
      <c r="D811" s="109">
        <v>0.8</v>
      </c>
      <c r="E811" s="100">
        <f>$F$39</f>
        <v>386.38</v>
      </c>
      <c r="F811" s="100">
        <f>ROUND(D811*E811,2)</f>
        <v>309.10000000000002</v>
      </c>
      <c r="G811" s="100"/>
    </row>
    <row r="812" spans="1:8" x14ac:dyDescent="0.3">
      <c r="A812" s="114"/>
      <c r="B812" s="114"/>
      <c r="C812" s="115"/>
      <c r="D812" s="116" t="s">
        <v>170</v>
      </c>
      <c r="E812" s="117"/>
      <c r="F812" s="132"/>
      <c r="G812" s="113">
        <f>SUM(F810:F811)</f>
        <v>1052.48</v>
      </c>
      <c r="H812" s="91"/>
    </row>
    <row r="813" spans="1:8" ht="15" thickBot="1" x14ac:dyDescent="0.35">
      <c r="C813" s="80"/>
      <c r="D813" s="125"/>
      <c r="E813" s="78"/>
      <c r="F813" s="78"/>
      <c r="G813" s="117"/>
    </row>
    <row r="814" spans="1:8" ht="15.6" thickTop="1" thickBot="1" x14ac:dyDescent="0.35">
      <c r="C814" s="80"/>
      <c r="D814" s="125" t="s">
        <v>171</v>
      </c>
      <c r="E814" s="78"/>
      <c r="F814" s="78"/>
      <c r="G814" s="135">
        <f>SUM(G805:G812)</f>
        <v>1594</v>
      </c>
      <c r="H814" s="136"/>
    </row>
    <row r="815" spans="1:8" ht="15" thickTop="1" x14ac:dyDescent="0.3">
      <c r="C815" s="80"/>
      <c r="D815" s="125"/>
      <c r="E815" s="78"/>
      <c r="F815" s="78"/>
      <c r="G815" s="137"/>
      <c r="H815" s="15"/>
    </row>
    <row r="816" spans="1:8" ht="15.6" x14ac:dyDescent="0.3">
      <c r="A816" s="79" t="s">
        <v>128</v>
      </c>
      <c r="B816" s="81" t="s">
        <v>226</v>
      </c>
      <c r="C816" s="80"/>
      <c r="D816" s="125"/>
      <c r="E816" s="78"/>
      <c r="F816" s="78"/>
      <c r="G816" s="78"/>
    </row>
    <row r="817" spans="1:8" ht="15.6" x14ac:dyDescent="0.3">
      <c r="A817" s="79" t="s">
        <v>130</v>
      </c>
      <c r="B817" s="81" t="s">
        <v>202</v>
      </c>
      <c r="C817" s="80"/>
      <c r="D817" s="125"/>
      <c r="E817" s="78"/>
      <c r="F817" s="78"/>
      <c r="G817" s="78"/>
    </row>
    <row r="818" spans="1:8" x14ac:dyDescent="0.3">
      <c r="C818" s="80"/>
      <c r="D818" s="125"/>
      <c r="E818" s="78"/>
      <c r="F818" s="78"/>
      <c r="G818" s="78"/>
    </row>
    <row r="819" spans="1:8" ht="15" thickBot="1" x14ac:dyDescent="0.35">
      <c r="A819" s="79" t="s">
        <v>161</v>
      </c>
      <c r="C819" s="80"/>
      <c r="D819" s="125"/>
      <c r="E819" s="78"/>
      <c r="F819" s="78"/>
      <c r="G819" s="78"/>
    </row>
    <row r="820" spans="1:8" ht="15" thickTop="1" x14ac:dyDescent="0.3">
      <c r="A820" s="84" t="s">
        <v>3</v>
      </c>
      <c r="B820" s="85" t="s">
        <v>135</v>
      </c>
      <c r="C820" s="86" t="s">
        <v>5</v>
      </c>
      <c r="D820" s="87" t="s">
        <v>6</v>
      </c>
      <c r="E820" s="88" t="s">
        <v>28</v>
      </c>
      <c r="F820" s="88" t="s">
        <v>28</v>
      </c>
      <c r="G820" s="89"/>
    </row>
    <row r="821" spans="1:8" ht="15" thickBot="1" x14ac:dyDescent="0.35">
      <c r="A821" s="90"/>
      <c r="B821" s="91"/>
      <c r="C821" s="92"/>
      <c r="D821" s="93"/>
      <c r="E821" s="94" t="s">
        <v>11</v>
      </c>
      <c r="F821" s="94" t="s">
        <v>10</v>
      </c>
      <c r="G821" s="89"/>
    </row>
    <row r="822" spans="1:8" ht="15" thickTop="1" x14ac:dyDescent="0.3">
      <c r="A822" s="95"/>
      <c r="B822" s="95" t="str">
        <f>LISTA!C73</f>
        <v>Mosaico  Granítico 30x30 Color</v>
      </c>
      <c r="C822" s="126" t="str">
        <f>LISTA!$E$73</f>
        <v>M2</v>
      </c>
      <c r="D822" s="127">
        <v>1.05</v>
      </c>
      <c r="E822" s="134">
        <f>LISTA!$F$73</f>
        <v>100</v>
      </c>
      <c r="F822" s="134">
        <f t="shared" ref="F822:F827" si="7">ROUND(D822*E822,2)</f>
        <v>105</v>
      </c>
      <c r="G822" s="100"/>
    </row>
    <row r="823" spans="1:8" x14ac:dyDescent="0.3">
      <c r="A823" s="102"/>
      <c r="B823" s="102" t="str">
        <f>LISTA!$C$10</f>
        <v>Cemento</v>
      </c>
      <c r="C823" s="108" t="str">
        <f>LISTA!$E$10</f>
        <v>Kg</v>
      </c>
      <c r="D823" s="109">
        <v>5</v>
      </c>
      <c r="E823" s="100">
        <f>LISTA!$F$10</f>
        <v>6.15</v>
      </c>
      <c r="F823" s="100">
        <f t="shared" si="7"/>
        <v>30.75</v>
      </c>
      <c r="G823" s="100"/>
    </row>
    <row r="824" spans="1:8" x14ac:dyDescent="0.3">
      <c r="A824" s="102"/>
      <c r="B824" s="102" t="str">
        <f>LISTA!$C$11</f>
        <v xml:space="preserve">Arena </v>
      </c>
      <c r="C824" s="108" t="str">
        <f>LISTA!$E$11</f>
        <v>M3</v>
      </c>
      <c r="D824" s="109">
        <v>0.03</v>
      </c>
      <c r="E824" s="100">
        <f>LISTA!$F$11</f>
        <v>2890</v>
      </c>
      <c r="F824" s="100">
        <f t="shared" si="7"/>
        <v>86.7</v>
      </c>
      <c r="G824" s="100"/>
    </row>
    <row r="825" spans="1:8" x14ac:dyDescent="0.3">
      <c r="A825" s="102"/>
      <c r="B825" s="102" t="str">
        <f>LISTA!C17</f>
        <v>Cal</v>
      </c>
      <c r="C825" s="108" t="str">
        <f>LISTA!$E$17</f>
        <v>Kg</v>
      </c>
      <c r="D825" s="109">
        <v>4.5</v>
      </c>
      <c r="E825" s="100">
        <f>LISTA!$F$17</f>
        <v>3.9</v>
      </c>
      <c r="F825" s="100">
        <f t="shared" si="7"/>
        <v>17.55</v>
      </c>
      <c r="G825" s="100"/>
    </row>
    <row r="826" spans="1:8" x14ac:dyDescent="0.3">
      <c r="A826" s="102"/>
      <c r="B826" s="102" t="str">
        <f>LISTA!$C$78</f>
        <v>Sellador de juntas en tiras</v>
      </c>
      <c r="C826" s="108" t="str">
        <f>LISTA!$E$78</f>
        <v>Ml</v>
      </c>
      <c r="D826" s="109">
        <v>0.2</v>
      </c>
      <c r="E826" s="130">
        <f>LISTA!$F$78</f>
        <v>375</v>
      </c>
      <c r="F826" s="100">
        <f t="shared" si="7"/>
        <v>75</v>
      </c>
      <c r="G826" s="102"/>
    </row>
    <row r="827" spans="1:8" x14ac:dyDescent="0.3">
      <c r="A827" s="102"/>
      <c r="B827" s="102" t="str">
        <f>LISTA!$C$75</f>
        <v>Pastina color</v>
      </c>
      <c r="C827" s="108" t="str">
        <f>LISTA!$E$75</f>
        <v>Kg</v>
      </c>
      <c r="D827" s="109">
        <v>1</v>
      </c>
      <c r="E827" s="100">
        <f>LISTA!$F$75</f>
        <v>305.58</v>
      </c>
      <c r="F827" s="100">
        <f t="shared" si="7"/>
        <v>305.58</v>
      </c>
      <c r="G827" s="100"/>
    </row>
    <row r="828" spans="1:8" x14ac:dyDescent="0.3">
      <c r="A828" s="114"/>
      <c r="B828" s="114"/>
      <c r="C828" s="115"/>
      <c r="D828" s="116"/>
      <c r="E828" s="117"/>
      <c r="F828" s="132"/>
      <c r="G828" s="113">
        <f>SUM(F822:F827)</f>
        <v>620.57999999999993</v>
      </c>
      <c r="H828" s="91"/>
    </row>
    <row r="829" spans="1:8" x14ac:dyDescent="0.3">
      <c r="C829" s="80"/>
      <c r="D829" s="125"/>
      <c r="E829" s="78"/>
      <c r="F829" s="78"/>
      <c r="G829" s="117"/>
    </row>
    <row r="830" spans="1:8" ht="15" thickBot="1" x14ac:dyDescent="0.35">
      <c r="A830" s="79" t="s">
        <v>166</v>
      </c>
      <c r="C830" s="80"/>
      <c r="D830" s="125"/>
      <c r="E830" s="78"/>
      <c r="F830" s="78"/>
      <c r="G830" s="78"/>
    </row>
    <row r="831" spans="1:8" ht="15" thickTop="1" x14ac:dyDescent="0.3">
      <c r="A831" s="84" t="s">
        <v>3</v>
      </c>
      <c r="B831" s="85" t="s">
        <v>135</v>
      </c>
      <c r="C831" s="86" t="s">
        <v>5</v>
      </c>
      <c r="D831" s="87" t="s">
        <v>6</v>
      </c>
      <c r="E831" s="88" t="s">
        <v>28</v>
      </c>
      <c r="F831" s="88" t="s">
        <v>28</v>
      </c>
      <c r="G831" s="89"/>
    </row>
    <row r="832" spans="1:8" ht="15" thickBot="1" x14ac:dyDescent="0.35">
      <c r="A832" s="90"/>
      <c r="B832" s="91"/>
      <c r="C832" s="92"/>
      <c r="D832" s="93"/>
      <c r="E832" s="94" t="s">
        <v>11</v>
      </c>
      <c r="F832" s="94" t="s">
        <v>10</v>
      </c>
      <c r="G832" s="89"/>
    </row>
    <row r="833" spans="1:8" ht="15" thickTop="1" x14ac:dyDescent="0.3">
      <c r="A833" s="95"/>
      <c r="B833" s="95" t="s">
        <v>167</v>
      </c>
      <c r="C833" s="126" t="s">
        <v>168</v>
      </c>
      <c r="D833" s="127">
        <v>0.9</v>
      </c>
      <c r="E833" s="134">
        <f>$F$22</f>
        <v>1238.96</v>
      </c>
      <c r="F833" s="134">
        <f>ROUND(D833*E833,2)</f>
        <v>1115.06</v>
      </c>
      <c r="G833" s="100"/>
    </row>
    <row r="834" spans="1:8" x14ac:dyDescent="0.3">
      <c r="A834" s="102"/>
      <c r="B834" s="102" t="s">
        <v>169</v>
      </c>
      <c r="C834" s="108" t="s">
        <v>168</v>
      </c>
      <c r="D834" s="109">
        <v>0.65</v>
      </c>
      <c r="E834" s="100">
        <f>$F$39</f>
        <v>386.38</v>
      </c>
      <c r="F834" s="100">
        <f>ROUND(D834*E834,2)</f>
        <v>251.15</v>
      </c>
      <c r="G834" s="100"/>
    </row>
    <row r="835" spans="1:8" x14ac:dyDescent="0.3">
      <c r="A835" s="102"/>
      <c r="B835" s="102" t="s">
        <v>227</v>
      </c>
      <c r="C835" s="108" t="s">
        <v>168</v>
      </c>
      <c r="D835" s="109">
        <v>0.85</v>
      </c>
      <c r="E835" s="100">
        <f>$F$22*1.2</f>
        <v>1486.752</v>
      </c>
      <c r="F835" s="100">
        <f>ROUND(D835*E835,2)</f>
        <v>1263.74</v>
      </c>
      <c r="G835" s="102"/>
    </row>
    <row r="836" spans="1:8" x14ac:dyDescent="0.3">
      <c r="A836" s="114"/>
      <c r="B836" s="114"/>
      <c r="C836" s="115"/>
      <c r="D836" s="116" t="s">
        <v>170</v>
      </c>
      <c r="E836" s="117"/>
      <c r="F836" s="132"/>
      <c r="G836" s="113">
        <f>SUM(F833:F835)</f>
        <v>2629.95</v>
      </c>
      <c r="H836" s="91"/>
    </row>
    <row r="837" spans="1:8" ht="15" thickBot="1" x14ac:dyDescent="0.35">
      <c r="C837" s="80"/>
      <c r="D837" s="125"/>
      <c r="E837" s="78"/>
      <c r="F837" s="78"/>
      <c r="G837" s="117"/>
    </row>
    <row r="838" spans="1:8" ht="15.6" thickTop="1" thickBot="1" x14ac:dyDescent="0.35">
      <c r="C838" s="80"/>
      <c r="D838" s="125" t="s">
        <v>171</v>
      </c>
      <c r="E838" s="78"/>
      <c r="F838" s="78"/>
      <c r="G838" s="135">
        <f>SUM(G828:G836)</f>
        <v>3250.5299999999997</v>
      </c>
      <c r="H838" s="136"/>
    </row>
    <row r="839" spans="1:8" ht="15" thickTop="1" x14ac:dyDescent="0.3">
      <c r="C839" s="80"/>
      <c r="D839" s="125"/>
      <c r="E839" s="78"/>
      <c r="F839" s="78"/>
      <c r="G839" s="137"/>
    </row>
    <row r="840" spans="1:8" ht="15.6" x14ac:dyDescent="0.3">
      <c r="A840" s="79" t="s">
        <v>128</v>
      </c>
      <c r="B840" s="81" t="s">
        <v>228</v>
      </c>
      <c r="C840" s="80"/>
      <c r="D840" s="125"/>
      <c r="E840" s="78"/>
      <c r="F840" s="78"/>
      <c r="G840" s="78"/>
    </row>
    <row r="841" spans="1:8" ht="15.6" x14ac:dyDescent="0.3">
      <c r="A841" s="79" t="s">
        <v>130</v>
      </c>
      <c r="B841" s="81" t="s">
        <v>202</v>
      </c>
      <c r="C841" s="80"/>
      <c r="D841" s="125"/>
      <c r="E841" s="78"/>
      <c r="F841" s="78"/>
      <c r="G841" s="78"/>
    </row>
    <row r="842" spans="1:8" x14ac:dyDescent="0.3">
      <c r="C842" s="80"/>
      <c r="D842" s="125"/>
      <c r="E842" s="78"/>
      <c r="F842" s="78"/>
      <c r="G842" s="78"/>
    </row>
    <row r="843" spans="1:8" ht="15" thickBot="1" x14ac:dyDescent="0.35">
      <c r="A843" s="79" t="s">
        <v>161</v>
      </c>
      <c r="C843" s="80"/>
      <c r="D843" s="125"/>
      <c r="E843" s="78"/>
      <c r="F843" s="78"/>
      <c r="G843" s="78"/>
    </row>
    <row r="844" spans="1:8" ht="15" thickTop="1" x14ac:dyDescent="0.3">
      <c r="A844" s="84" t="s">
        <v>3</v>
      </c>
      <c r="B844" s="85" t="s">
        <v>135</v>
      </c>
      <c r="C844" s="86" t="s">
        <v>5</v>
      </c>
      <c r="D844" s="87" t="s">
        <v>6</v>
      </c>
      <c r="E844" s="88" t="s">
        <v>28</v>
      </c>
      <c r="F844" s="88" t="s">
        <v>28</v>
      </c>
      <c r="G844" s="89"/>
    </row>
    <row r="845" spans="1:8" ht="15" thickBot="1" x14ac:dyDescent="0.35">
      <c r="A845" s="90"/>
      <c r="B845" s="91"/>
      <c r="C845" s="92"/>
      <c r="D845" s="93"/>
      <c r="E845" s="94" t="s">
        <v>11</v>
      </c>
      <c r="F845" s="94" t="s">
        <v>10</v>
      </c>
      <c r="G845" s="89"/>
    </row>
    <row r="846" spans="1:8" ht="15" thickTop="1" x14ac:dyDescent="0.3">
      <c r="A846" s="95"/>
      <c r="B846" s="95" t="str">
        <f>LISTA!$C$76</f>
        <v>Losetas de 40x40 C/relieves</v>
      </c>
      <c r="C846" s="126" t="str">
        <f>LISTA!$E$76</f>
        <v>Nº</v>
      </c>
      <c r="D846" s="127">
        <f>1/0.4/0.4</f>
        <v>6.25</v>
      </c>
      <c r="E846" s="134">
        <f>LISTA!$F$76</f>
        <v>190</v>
      </c>
      <c r="F846" s="134">
        <f>ROUND(D846*E846,2)-0.01</f>
        <v>1187.49</v>
      </c>
      <c r="G846" s="100"/>
    </row>
    <row r="847" spans="1:8" x14ac:dyDescent="0.3">
      <c r="A847" s="102"/>
      <c r="B847" s="102" t="str">
        <f>LISTA!$C$10</f>
        <v>Cemento</v>
      </c>
      <c r="C847" s="108" t="str">
        <f>LISTA!$E$10</f>
        <v>Kg</v>
      </c>
      <c r="D847" s="109">
        <v>5</v>
      </c>
      <c r="E847" s="100">
        <f>LISTA!$F$10</f>
        <v>6.15</v>
      </c>
      <c r="F847" s="100">
        <f>ROUND(D847*E847,2)</f>
        <v>30.75</v>
      </c>
      <c r="G847" s="100"/>
    </row>
    <row r="848" spans="1:8" x14ac:dyDescent="0.3">
      <c r="A848" s="102"/>
      <c r="B848" s="102" t="str">
        <f>LISTA!$C$11</f>
        <v xml:space="preserve">Arena </v>
      </c>
      <c r="C848" s="108" t="str">
        <f>LISTA!$E$11</f>
        <v>M3</v>
      </c>
      <c r="D848" s="109">
        <v>0.03</v>
      </c>
      <c r="E848" s="100">
        <f>LISTA!$F$11</f>
        <v>2890</v>
      </c>
      <c r="F848" s="100">
        <f>ROUND(D848*E848,2)</f>
        <v>86.7</v>
      </c>
      <c r="G848" s="100"/>
    </row>
    <row r="849" spans="1:8" x14ac:dyDescent="0.3">
      <c r="A849" s="102"/>
      <c r="B849" s="102" t="str">
        <f>LISTA!$C$17</f>
        <v>Cal</v>
      </c>
      <c r="C849" s="108" t="str">
        <f>LISTA!$E$17</f>
        <v>Kg</v>
      </c>
      <c r="D849" s="109">
        <v>4.5</v>
      </c>
      <c r="E849" s="100">
        <f>LISTA!$F$17</f>
        <v>3.9</v>
      </c>
      <c r="F849" s="100">
        <f>ROUND(D849*E849,2)</f>
        <v>17.55</v>
      </c>
      <c r="G849" s="100"/>
    </row>
    <row r="850" spans="1:8" x14ac:dyDescent="0.3">
      <c r="A850" s="102"/>
      <c r="B850" s="102" t="str">
        <f>LISTA!$C$78</f>
        <v>Sellador de juntas en tiras</v>
      </c>
      <c r="C850" s="108" t="str">
        <f>LISTA!$E$78</f>
        <v>Ml</v>
      </c>
      <c r="D850" s="109">
        <v>0.5</v>
      </c>
      <c r="E850" s="100">
        <f>LISTA!$F$78</f>
        <v>375</v>
      </c>
      <c r="F850" s="100">
        <f>ROUND(D850*E850,2)</f>
        <v>187.5</v>
      </c>
      <c r="G850" s="100"/>
    </row>
    <row r="851" spans="1:8" x14ac:dyDescent="0.3">
      <c r="A851" s="114"/>
      <c r="B851" s="114"/>
      <c r="C851" s="115"/>
      <c r="D851" s="116"/>
      <c r="E851" s="117"/>
      <c r="F851" s="132"/>
      <c r="G851" s="113">
        <f>SUM(F846:F850)</f>
        <v>1509.99</v>
      </c>
      <c r="H851" s="91"/>
    </row>
    <row r="852" spans="1:8" x14ac:dyDescent="0.3">
      <c r="C852" s="80"/>
      <c r="D852" s="125"/>
      <c r="E852" s="78"/>
      <c r="F852" s="78"/>
      <c r="G852" s="117"/>
    </row>
    <row r="853" spans="1:8" ht="15" thickBot="1" x14ac:dyDescent="0.35">
      <c r="A853" s="79" t="s">
        <v>166</v>
      </c>
      <c r="C853" s="80"/>
      <c r="D853" s="125"/>
      <c r="E853" s="78"/>
      <c r="F853" s="78"/>
      <c r="G853" s="78"/>
    </row>
    <row r="854" spans="1:8" ht="15" thickTop="1" x14ac:dyDescent="0.3">
      <c r="A854" s="84" t="s">
        <v>3</v>
      </c>
      <c r="B854" s="85" t="s">
        <v>135</v>
      </c>
      <c r="C854" s="86" t="s">
        <v>5</v>
      </c>
      <c r="D854" s="87" t="s">
        <v>6</v>
      </c>
      <c r="E854" s="88" t="s">
        <v>28</v>
      </c>
      <c r="F854" s="88" t="s">
        <v>28</v>
      </c>
      <c r="G854" s="89"/>
    </row>
    <row r="855" spans="1:8" ht="15" thickBot="1" x14ac:dyDescent="0.35">
      <c r="A855" s="90"/>
      <c r="B855" s="91"/>
      <c r="C855" s="92"/>
      <c r="D855" s="93"/>
      <c r="E855" s="94" t="s">
        <v>11</v>
      </c>
      <c r="F855" s="94" t="s">
        <v>10</v>
      </c>
      <c r="G855" s="89"/>
    </row>
    <row r="856" spans="1:8" ht="15" thickTop="1" x14ac:dyDescent="0.3">
      <c r="A856" s="95"/>
      <c r="B856" s="95" t="s">
        <v>167</v>
      </c>
      <c r="C856" s="126" t="s">
        <v>168</v>
      </c>
      <c r="D856" s="127">
        <v>2</v>
      </c>
      <c r="E856" s="134">
        <f>$F$22</f>
        <v>1238.96</v>
      </c>
      <c r="F856" s="134">
        <f>ROUND(D856*E856,2)</f>
        <v>2477.92</v>
      </c>
      <c r="G856" s="100"/>
    </row>
    <row r="857" spans="1:8" x14ac:dyDescent="0.3">
      <c r="A857" s="102"/>
      <c r="B857" s="102" t="s">
        <v>169</v>
      </c>
      <c r="C857" s="108" t="s">
        <v>168</v>
      </c>
      <c r="D857" s="109">
        <v>1</v>
      </c>
      <c r="E857" s="100">
        <f>$F$39</f>
        <v>386.38</v>
      </c>
      <c r="F857" s="100">
        <f>ROUND(D857*E857,2)</f>
        <v>386.38</v>
      </c>
      <c r="G857" s="100"/>
    </row>
    <row r="858" spans="1:8" x14ac:dyDescent="0.3">
      <c r="A858" s="114"/>
      <c r="B858" s="114"/>
      <c r="C858" s="115"/>
      <c r="D858" s="116" t="s">
        <v>170</v>
      </c>
      <c r="E858" s="117"/>
      <c r="F858" s="132"/>
      <c r="G858" s="113">
        <f>SUM(F856:F857)</f>
        <v>2864.3</v>
      </c>
      <c r="H858" s="91"/>
    </row>
    <row r="859" spans="1:8" ht="15" thickBot="1" x14ac:dyDescent="0.35">
      <c r="C859" s="80"/>
      <c r="D859" s="125"/>
      <c r="E859" s="78"/>
      <c r="F859" s="78"/>
      <c r="G859" s="117"/>
    </row>
    <row r="860" spans="1:8" ht="15.6" thickTop="1" thickBot="1" x14ac:dyDescent="0.35">
      <c r="C860" s="80"/>
      <c r="D860" s="125" t="s">
        <v>171</v>
      </c>
      <c r="E860" s="78"/>
      <c r="F860" s="78"/>
      <c r="G860" s="135">
        <f>SUM(G851:G858)</f>
        <v>4374.29</v>
      </c>
      <c r="H860" s="136"/>
    </row>
    <row r="861" spans="1:8" ht="15" thickTop="1" x14ac:dyDescent="0.3">
      <c r="C861" s="80"/>
      <c r="D861" s="125"/>
      <c r="E861" s="78"/>
      <c r="F861" s="78"/>
      <c r="G861" s="137"/>
    </row>
    <row r="862" spans="1:8" ht="15.6" x14ac:dyDescent="0.3">
      <c r="A862" s="79" t="s">
        <v>128</v>
      </c>
      <c r="B862" s="81" t="s">
        <v>229</v>
      </c>
      <c r="C862" s="80"/>
      <c r="D862" s="125"/>
      <c r="E862" s="78"/>
      <c r="F862" s="78"/>
      <c r="G862" s="78"/>
    </row>
    <row r="863" spans="1:8" ht="15.6" x14ac:dyDescent="0.3">
      <c r="A863" s="79" t="s">
        <v>130</v>
      </c>
      <c r="B863" s="81" t="s">
        <v>202</v>
      </c>
      <c r="C863" s="80"/>
      <c r="D863" s="125"/>
      <c r="E863" s="78"/>
      <c r="F863" s="78"/>
      <c r="G863" s="78"/>
    </row>
    <row r="864" spans="1:8" x14ac:dyDescent="0.3">
      <c r="C864" s="80"/>
      <c r="D864" s="125"/>
      <c r="E864" s="78"/>
      <c r="F864" s="78"/>
      <c r="G864" s="78"/>
    </row>
    <row r="865" spans="1:8" ht="15" thickBot="1" x14ac:dyDescent="0.35">
      <c r="A865" s="79" t="s">
        <v>161</v>
      </c>
      <c r="C865" s="80"/>
      <c r="D865" s="125"/>
      <c r="E865" s="78"/>
      <c r="F865" s="78"/>
      <c r="G865" s="78"/>
    </row>
    <row r="866" spans="1:8" ht="15" thickTop="1" x14ac:dyDescent="0.3">
      <c r="A866" s="84" t="s">
        <v>3</v>
      </c>
      <c r="B866" s="85" t="s">
        <v>135</v>
      </c>
      <c r="C866" s="86" t="s">
        <v>5</v>
      </c>
      <c r="D866" s="87" t="s">
        <v>6</v>
      </c>
      <c r="E866" s="88" t="s">
        <v>28</v>
      </c>
      <c r="F866" s="88" t="s">
        <v>28</v>
      </c>
      <c r="G866" s="89"/>
    </row>
    <row r="867" spans="1:8" ht="15" thickBot="1" x14ac:dyDescent="0.35">
      <c r="A867" s="90"/>
      <c r="B867" s="91"/>
      <c r="C867" s="92"/>
      <c r="D867" s="93"/>
      <c r="E867" s="94" t="s">
        <v>11</v>
      </c>
      <c r="F867" s="94" t="s">
        <v>10</v>
      </c>
      <c r="G867" s="89"/>
    </row>
    <row r="868" spans="1:8" ht="15" thickTop="1" x14ac:dyDescent="0.3">
      <c r="A868" s="95"/>
      <c r="B868" s="95" t="str">
        <f>LISTA!$C$77</f>
        <v>Losetas de 50x40 Atermico p/borde</v>
      </c>
      <c r="C868" s="126" t="str">
        <f>LISTA!$E$77</f>
        <v>Nº</v>
      </c>
      <c r="D868" s="127">
        <v>4</v>
      </c>
      <c r="E868" s="134">
        <f>LISTA!$F$77</f>
        <v>412</v>
      </c>
      <c r="F868" s="134">
        <f>ROUND(D868*E868,2)-0.01</f>
        <v>1647.99</v>
      </c>
      <c r="G868" s="100"/>
    </row>
    <row r="869" spans="1:8" x14ac:dyDescent="0.3">
      <c r="A869" s="102"/>
      <c r="B869" s="102" t="str">
        <f>LISTA!$C$10</f>
        <v>Cemento</v>
      </c>
      <c r="C869" s="108" t="str">
        <f>LISTA!$E$10</f>
        <v>Kg</v>
      </c>
      <c r="D869" s="109">
        <v>5</v>
      </c>
      <c r="E869" s="100">
        <f>LISTA!$F$10</f>
        <v>6.15</v>
      </c>
      <c r="F869" s="100">
        <f>ROUND(D869*E869,2)</f>
        <v>30.75</v>
      </c>
      <c r="G869" s="100"/>
    </row>
    <row r="870" spans="1:8" x14ac:dyDescent="0.3">
      <c r="A870" s="102"/>
      <c r="B870" s="102" t="str">
        <f>LISTA!$C$11</f>
        <v xml:space="preserve">Arena </v>
      </c>
      <c r="C870" s="108" t="str">
        <f>LISTA!$E$11</f>
        <v>M3</v>
      </c>
      <c r="D870" s="109">
        <v>0.03</v>
      </c>
      <c r="E870" s="100">
        <f>LISTA!$F$11</f>
        <v>2890</v>
      </c>
      <c r="F870" s="100">
        <f>ROUND(D870*E870,2)</f>
        <v>86.7</v>
      </c>
      <c r="G870" s="100"/>
    </row>
    <row r="871" spans="1:8" x14ac:dyDescent="0.3">
      <c r="A871" s="102"/>
      <c r="B871" s="102" t="str">
        <f>LISTA!$C$17</f>
        <v>Cal</v>
      </c>
      <c r="C871" s="108" t="str">
        <f>LISTA!$E$17</f>
        <v>Kg</v>
      </c>
      <c r="D871" s="109">
        <v>4.5</v>
      </c>
      <c r="E871" s="100">
        <f>LISTA!$F$17</f>
        <v>3.9</v>
      </c>
      <c r="F871" s="100">
        <f>ROUND(D871*E871,2)</f>
        <v>17.55</v>
      </c>
      <c r="G871" s="100"/>
    </row>
    <row r="872" spans="1:8" x14ac:dyDescent="0.3">
      <c r="A872" s="102"/>
      <c r="B872" s="102" t="str">
        <f>LISTA!$C$78</f>
        <v>Sellador de juntas en tiras</v>
      </c>
      <c r="C872" s="108" t="str">
        <f>LISTA!$E$78</f>
        <v>Ml</v>
      </c>
      <c r="D872" s="109">
        <v>0.5</v>
      </c>
      <c r="E872" s="100">
        <f>LISTA!$F$78</f>
        <v>375</v>
      </c>
      <c r="F872" s="100">
        <f>ROUND(D872*E872,2)</f>
        <v>187.5</v>
      </c>
      <c r="G872" s="100"/>
    </row>
    <row r="873" spans="1:8" x14ac:dyDescent="0.3">
      <c r="A873" s="114"/>
      <c r="B873" s="114"/>
      <c r="C873" s="115"/>
      <c r="D873" s="116"/>
      <c r="E873" s="117"/>
      <c r="F873" s="132"/>
      <c r="G873" s="113">
        <f>SUM(F868:F872)</f>
        <v>1970.49</v>
      </c>
      <c r="H873" s="91"/>
    </row>
    <row r="874" spans="1:8" x14ac:dyDescent="0.3">
      <c r="C874" s="80"/>
      <c r="D874" s="125"/>
      <c r="E874" s="78"/>
      <c r="F874" s="78"/>
      <c r="G874" s="117"/>
    </row>
    <row r="875" spans="1:8" ht="15" thickBot="1" x14ac:dyDescent="0.35">
      <c r="A875" s="79" t="s">
        <v>166</v>
      </c>
      <c r="C875" s="80"/>
      <c r="D875" s="125"/>
      <c r="E875" s="78"/>
      <c r="F875" s="78"/>
      <c r="G875" s="78"/>
    </row>
    <row r="876" spans="1:8" ht="15" thickTop="1" x14ac:dyDescent="0.3">
      <c r="A876" s="84" t="s">
        <v>3</v>
      </c>
      <c r="B876" s="85" t="s">
        <v>135</v>
      </c>
      <c r="C876" s="86" t="s">
        <v>5</v>
      </c>
      <c r="D876" s="87" t="s">
        <v>6</v>
      </c>
      <c r="E876" s="88" t="s">
        <v>28</v>
      </c>
      <c r="F876" s="88" t="s">
        <v>28</v>
      </c>
      <c r="G876" s="89"/>
    </row>
    <row r="877" spans="1:8" ht="15" thickBot="1" x14ac:dyDescent="0.35">
      <c r="A877" s="90"/>
      <c r="B877" s="91"/>
      <c r="C877" s="92"/>
      <c r="D877" s="93"/>
      <c r="E877" s="94" t="s">
        <v>11</v>
      </c>
      <c r="F877" s="94" t="s">
        <v>10</v>
      </c>
      <c r="G877" s="89"/>
    </row>
    <row r="878" spans="1:8" ht="15" thickTop="1" x14ac:dyDescent="0.3">
      <c r="A878" s="95"/>
      <c r="B878" s="95" t="s">
        <v>167</v>
      </c>
      <c r="C878" s="126" t="s">
        <v>168</v>
      </c>
      <c r="D878" s="127">
        <v>2</v>
      </c>
      <c r="E878" s="134">
        <f>$F$22</f>
        <v>1238.96</v>
      </c>
      <c r="F878" s="134">
        <f>ROUND(D878*E878,2)</f>
        <v>2477.92</v>
      </c>
      <c r="G878" s="100"/>
    </row>
    <row r="879" spans="1:8" x14ac:dyDescent="0.3">
      <c r="A879" s="102"/>
      <c r="B879" s="102" t="s">
        <v>169</v>
      </c>
      <c r="C879" s="108" t="s">
        <v>168</v>
      </c>
      <c r="D879" s="109">
        <v>1</v>
      </c>
      <c r="E879" s="100">
        <f>$F$39</f>
        <v>386.38</v>
      </c>
      <c r="F879" s="100">
        <f>ROUND(D879*E879,2)</f>
        <v>386.38</v>
      </c>
      <c r="G879" s="100"/>
    </row>
    <row r="880" spans="1:8" x14ac:dyDescent="0.3">
      <c r="A880" s="114"/>
      <c r="B880" s="114"/>
      <c r="C880" s="115"/>
      <c r="D880" s="116" t="s">
        <v>170</v>
      </c>
      <c r="E880" s="117"/>
      <c r="F880" s="132"/>
      <c r="G880" s="113">
        <f>SUM(F878:F879)</f>
        <v>2864.3</v>
      </c>
      <c r="H880" s="91"/>
    </row>
    <row r="881" spans="1:8" ht="15" thickBot="1" x14ac:dyDescent="0.35">
      <c r="C881" s="80"/>
      <c r="D881" s="125"/>
      <c r="E881" s="78"/>
      <c r="F881" s="78"/>
      <c r="G881" s="117"/>
    </row>
    <row r="882" spans="1:8" ht="15.6" thickTop="1" thickBot="1" x14ac:dyDescent="0.35">
      <c r="C882" s="80"/>
      <c r="D882" s="125" t="s">
        <v>171</v>
      </c>
      <c r="E882" s="78"/>
      <c r="F882" s="78"/>
      <c r="G882" s="135">
        <f>SUM(G873:G880)</f>
        <v>4834.79</v>
      </c>
      <c r="H882" s="136"/>
    </row>
    <row r="883" spans="1:8" ht="15" thickTop="1" x14ac:dyDescent="0.3">
      <c r="C883" s="80"/>
      <c r="D883" s="125"/>
      <c r="E883" s="78"/>
      <c r="F883" s="78"/>
      <c r="G883" s="137"/>
    </row>
    <row r="884" spans="1:8" ht="15.6" x14ac:dyDescent="0.3">
      <c r="A884" s="79" t="s">
        <v>128</v>
      </c>
      <c r="B884" s="81" t="s">
        <v>230</v>
      </c>
      <c r="C884" s="80"/>
      <c r="D884" s="125"/>
      <c r="E884" s="78"/>
      <c r="F884" s="78"/>
      <c r="G884" s="78"/>
    </row>
    <row r="885" spans="1:8" ht="15.6" x14ac:dyDescent="0.3">
      <c r="A885" s="79" t="s">
        <v>130</v>
      </c>
      <c r="B885" s="81" t="s">
        <v>202</v>
      </c>
      <c r="C885" s="80"/>
      <c r="D885" s="125"/>
      <c r="E885" s="78"/>
      <c r="F885" s="78"/>
      <c r="G885" s="78"/>
    </row>
    <row r="886" spans="1:8" x14ac:dyDescent="0.3">
      <c r="C886" s="80"/>
      <c r="D886" s="125"/>
      <c r="E886" s="78"/>
      <c r="F886" s="78"/>
      <c r="G886" s="78"/>
    </row>
    <row r="887" spans="1:8" ht="15" thickBot="1" x14ac:dyDescent="0.35">
      <c r="A887" s="79" t="s">
        <v>161</v>
      </c>
      <c r="C887" s="80"/>
      <c r="D887" s="125"/>
      <c r="E887" s="78"/>
      <c r="F887" s="78"/>
      <c r="G887" s="78"/>
    </row>
    <row r="888" spans="1:8" ht="15" thickTop="1" x14ac:dyDescent="0.3">
      <c r="A888" s="84" t="s">
        <v>3</v>
      </c>
      <c r="B888" s="85" t="s">
        <v>135</v>
      </c>
      <c r="C888" s="86" t="s">
        <v>5</v>
      </c>
      <c r="D888" s="87" t="s">
        <v>6</v>
      </c>
      <c r="E888" s="88" t="s">
        <v>28</v>
      </c>
      <c r="F888" s="88" t="s">
        <v>28</v>
      </c>
      <c r="G888" s="89"/>
    </row>
    <row r="889" spans="1:8" ht="15" thickBot="1" x14ac:dyDescent="0.35">
      <c r="A889" s="90"/>
      <c r="B889" s="91"/>
      <c r="C889" s="92"/>
      <c r="D889" s="93"/>
      <c r="E889" s="94" t="s">
        <v>11</v>
      </c>
      <c r="F889" s="94" t="s">
        <v>10</v>
      </c>
      <c r="G889" s="89"/>
    </row>
    <row r="890" spans="1:8" ht="15" thickTop="1" x14ac:dyDescent="0.3">
      <c r="A890" s="95"/>
      <c r="B890" s="95" t="str">
        <f>LISTA!$C$10</f>
        <v>Cemento</v>
      </c>
      <c r="C890" s="126" t="str">
        <f>LISTA!$E$10</f>
        <v>Kg</v>
      </c>
      <c r="D890" s="127">
        <v>15</v>
      </c>
      <c r="E890" s="146">
        <f>LISTA!$F$10</f>
        <v>6.15</v>
      </c>
      <c r="F890" s="134">
        <f>ROUND(D890*E890,2)</f>
        <v>92.25</v>
      </c>
      <c r="G890" s="100"/>
      <c r="H890" s="56">
        <f>300*0.15</f>
        <v>45</v>
      </c>
    </row>
    <row r="891" spans="1:8" x14ac:dyDescent="0.3">
      <c r="A891" s="102"/>
      <c r="B891" s="102" t="str">
        <f>LISTA!$C$11</f>
        <v xml:space="preserve">Arena </v>
      </c>
      <c r="C891" s="108" t="str">
        <f>LISTA!$E$11</f>
        <v>M3</v>
      </c>
      <c r="D891" s="109">
        <v>0.03</v>
      </c>
      <c r="E891" s="147">
        <f>LISTA!$F$11</f>
        <v>2890</v>
      </c>
      <c r="F891" s="100">
        <f>ROUND(D891*E891,2)</f>
        <v>86.7</v>
      </c>
      <c r="G891" s="100"/>
    </row>
    <row r="892" spans="1:8" x14ac:dyDescent="0.3">
      <c r="A892" s="102"/>
      <c r="B892" s="102"/>
      <c r="C892" s="108"/>
      <c r="D892" s="109"/>
      <c r="E892" s="147"/>
      <c r="F892" s="100"/>
      <c r="G892" s="100"/>
    </row>
    <row r="893" spans="1:8" x14ac:dyDescent="0.3">
      <c r="A893" s="102"/>
      <c r="B893" s="102"/>
      <c r="C893" s="108"/>
      <c r="D893" s="109"/>
      <c r="E893" s="100"/>
      <c r="F893" s="100"/>
      <c r="G893" s="100"/>
    </row>
    <row r="894" spans="1:8" x14ac:dyDescent="0.3">
      <c r="A894" s="114"/>
      <c r="B894" s="114"/>
      <c r="C894" s="115"/>
      <c r="D894" s="116" t="s">
        <v>165</v>
      </c>
      <c r="E894" s="117"/>
      <c r="F894" s="132"/>
      <c r="G894" s="113">
        <f>SUM(F890:F893)</f>
        <v>178.95</v>
      </c>
      <c r="H894" s="91"/>
    </row>
    <row r="895" spans="1:8" x14ac:dyDescent="0.3">
      <c r="C895" s="80"/>
      <c r="D895" s="125"/>
      <c r="E895" s="78"/>
      <c r="F895" s="78"/>
      <c r="G895" s="117"/>
    </row>
    <row r="896" spans="1:8" ht="15" thickBot="1" x14ac:dyDescent="0.35">
      <c r="A896" s="79" t="s">
        <v>166</v>
      </c>
      <c r="C896" s="80"/>
      <c r="D896" s="125"/>
      <c r="E896" s="78"/>
      <c r="F896" s="78"/>
      <c r="G896" s="78"/>
    </row>
    <row r="897" spans="1:8" ht="15" thickTop="1" x14ac:dyDescent="0.3">
      <c r="A897" s="84" t="s">
        <v>3</v>
      </c>
      <c r="B897" s="85" t="s">
        <v>135</v>
      </c>
      <c r="C897" s="86" t="s">
        <v>5</v>
      </c>
      <c r="D897" s="87" t="s">
        <v>6</v>
      </c>
      <c r="E897" s="88" t="s">
        <v>28</v>
      </c>
      <c r="F897" s="88" t="s">
        <v>28</v>
      </c>
      <c r="G897" s="89"/>
    </row>
    <row r="898" spans="1:8" ht="15" thickBot="1" x14ac:dyDescent="0.35">
      <c r="A898" s="90"/>
      <c r="B898" s="91"/>
      <c r="C898" s="92"/>
      <c r="D898" s="93"/>
      <c r="E898" s="94" t="s">
        <v>11</v>
      </c>
      <c r="F898" s="94" t="s">
        <v>10</v>
      </c>
      <c r="G898" s="89"/>
    </row>
    <row r="899" spans="1:8" ht="15" thickTop="1" x14ac:dyDescent="0.3">
      <c r="A899" s="95"/>
      <c r="B899" s="95" t="s">
        <v>167</v>
      </c>
      <c r="C899" s="126" t="s">
        <v>168</v>
      </c>
      <c r="D899" s="127">
        <v>1.2</v>
      </c>
      <c r="E899" s="134">
        <f>$F$22</f>
        <v>1238.96</v>
      </c>
      <c r="F899" s="134">
        <f>ROUND(D899*E899,2)</f>
        <v>1486.75</v>
      </c>
      <c r="G899" s="100"/>
    </row>
    <row r="900" spans="1:8" x14ac:dyDescent="0.3">
      <c r="A900" s="102"/>
      <c r="B900" s="102" t="s">
        <v>169</v>
      </c>
      <c r="C900" s="108" t="s">
        <v>168</v>
      </c>
      <c r="D900" s="109">
        <v>0.8</v>
      </c>
      <c r="E900" s="100">
        <f>$F$39</f>
        <v>386.38</v>
      </c>
      <c r="F900" s="100">
        <f>ROUND(D900*E900,2)</f>
        <v>309.10000000000002</v>
      </c>
      <c r="G900" s="100"/>
    </row>
    <row r="901" spans="1:8" x14ac:dyDescent="0.3">
      <c r="A901" s="114"/>
      <c r="B901" s="114"/>
      <c r="C901" s="115"/>
      <c r="D901" s="116" t="s">
        <v>170</v>
      </c>
      <c r="E901" s="117"/>
      <c r="F901" s="132"/>
      <c r="G901" s="113">
        <f>SUM(F899:F900)</f>
        <v>1795.85</v>
      </c>
      <c r="H901" s="91"/>
    </row>
    <row r="902" spans="1:8" ht="15" thickBot="1" x14ac:dyDescent="0.35">
      <c r="G902" s="114"/>
    </row>
    <row r="903" spans="1:8" ht="15.6" thickTop="1" thickBot="1" x14ac:dyDescent="0.35">
      <c r="D903" s="125" t="s">
        <v>171</v>
      </c>
      <c r="E903" s="78"/>
      <c r="F903" s="78"/>
      <c r="G903" s="135">
        <f>SUM(G893:G902)</f>
        <v>1974.8</v>
      </c>
      <c r="H903" s="136"/>
    </row>
    <row r="904" spans="1:8" ht="15" thickTop="1" x14ac:dyDescent="0.3">
      <c r="D904" s="125"/>
      <c r="E904" s="78"/>
      <c r="F904" s="78"/>
      <c r="G904" s="137"/>
    </row>
    <row r="906" spans="1:8" ht="15.6" x14ac:dyDescent="0.3">
      <c r="A906" s="79" t="s">
        <v>128</v>
      </c>
      <c r="B906" s="81" t="s">
        <v>231</v>
      </c>
    </row>
    <row r="907" spans="1:8" ht="15.6" x14ac:dyDescent="0.3">
      <c r="A907" s="79" t="s">
        <v>130</v>
      </c>
      <c r="B907" s="81" t="s">
        <v>204</v>
      </c>
      <c r="C907" s="80"/>
      <c r="D907" s="125"/>
      <c r="E907" s="78"/>
      <c r="F907" s="78"/>
      <c r="G907" s="78"/>
    </row>
    <row r="908" spans="1:8" x14ac:dyDescent="0.3">
      <c r="C908" s="80"/>
      <c r="D908" s="125"/>
      <c r="E908" s="78"/>
      <c r="F908" s="78"/>
      <c r="G908" s="78"/>
    </row>
    <row r="909" spans="1:8" ht="15" thickBot="1" x14ac:dyDescent="0.35">
      <c r="A909" s="79" t="s">
        <v>161</v>
      </c>
      <c r="C909" s="80"/>
      <c r="D909" s="125"/>
      <c r="E909" s="78"/>
      <c r="F909" s="78"/>
      <c r="G909" s="78"/>
    </row>
    <row r="910" spans="1:8" ht="15" thickTop="1" x14ac:dyDescent="0.3">
      <c r="A910" s="84" t="s">
        <v>3</v>
      </c>
      <c r="B910" s="85" t="s">
        <v>135</v>
      </c>
      <c r="C910" s="86" t="s">
        <v>5</v>
      </c>
      <c r="D910" s="87" t="s">
        <v>6</v>
      </c>
      <c r="E910" s="88" t="s">
        <v>28</v>
      </c>
      <c r="F910" s="88" t="s">
        <v>28</v>
      </c>
      <c r="G910" s="89"/>
    </row>
    <row r="911" spans="1:8" ht="15" thickBot="1" x14ac:dyDescent="0.35">
      <c r="A911" s="90"/>
      <c r="B911" s="91"/>
      <c r="C911" s="92"/>
      <c r="D911" s="93"/>
      <c r="E911" s="94" t="s">
        <v>11</v>
      </c>
      <c r="F911" s="94" t="s">
        <v>10</v>
      </c>
      <c r="G911" s="89"/>
    </row>
    <row r="912" spans="1:8" ht="15" thickTop="1" x14ac:dyDescent="0.3">
      <c r="A912" s="95"/>
      <c r="B912" s="95" t="str">
        <f>LISTA!$C$74</f>
        <v>Zócalo Granitico 10x30</v>
      </c>
      <c r="C912" s="126" t="str">
        <f>LISTA!$E$74</f>
        <v>Ml</v>
      </c>
      <c r="D912" s="127">
        <v>1.05</v>
      </c>
      <c r="E912" s="134">
        <f>LISTA!$F$74</f>
        <v>380</v>
      </c>
      <c r="F912" s="134">
        <f>ROUND(D912*E912,2)</f>
        <v>399</v>
      </c>
      <c r="G912" s="100"/>
    </row>
    <row r="913" spans="1:8" x14ac:dyDescent="0.3">
      <c r="A913" s="102"/>
      <c r="B913" s="102" t="str">
        <f>LISTA!$C$10</f>
        <v>Cemento</v>
      </c>
      <c r="C913" s="108" t="str">
        <f>LISTA!$E$10</f>
        <v>Kg</v>
      </c>
      <c r="D913" s="109">
        <v>0.5</v>
      </c>
      <c r="E913" s="100">
        <f>LISTA!$F$10</f>
        <v>6.15</v>
      </c>
      <c r="F913" s="100">
        <f>ROUND(D913*E913,2)</f>
        <v>3.08</v>
      </c>
      <c r="G913" s="100"/>
    </row>
    <row r="914" spans="1:8" x14ac:dyDescent="0.3">
      <c r="A914" s="102"/>
      <c r="B914" s="102" t="str">
        <f>LISTA!$C$11</f>
        <v xml:space="preserve">Arena </v>
      </c>
      <c r="C914" s="108" t="str">
        <f>LISTA!$E$11</f>
        <v>M3</v>
      </c>
      <c r="D914" s="109">
        <v>3.0000000000000001E-3</v>
      </c>
      <c r="E914" s="100">
        <f>LISTA!$F$11</f>
        <v>2890</v>
      </c>
      <c r="F914" s="100">
        <f>ROUND(D914*E914,2)</f>
        <v>8.67</v>
      </c>
      <c r="G914" s="100"/>
    </row>
    <row r="915" spans="1:8" x14ac:dyDescent="0.3">
      <c r="A915" s="102"/>
      <c r="B915" s="102" t="str">
        <f>LISTA!$C$17</f>
        <v>Cal</v>
      </c>
      <c r="C915" s="108" t="str">
        <f>LISTA!$E$17</f>
        <v>Kg</v>
      </c>
      <c r="D915" s="109">
        <v>0.5</v>
      </c>
      <c r="E915" s="100">
        <f>LISTA!$F$17</f>
        <v>3.9</v>
      </c>
      <c r="F915" s="100">
        <f>ROUND(D915*E915,2)</f>
        <v>1.95</v>
      </c>
      <c r="G915" s="100"/>
    </row>
    <row r="916" spans="1:8" x14ac:dyDescent="0.3">
      <c r="A916" s="102"/>
      <c r="B916" s="102" t="str">
        <f>LISTA!$C$75</f>
        <v>Pastina color</v>
      </c>
      <c r="C916" s="108" t="str">
        <f>LISTA!$E$75</f>
        <v>Kg</v>
      </c>
      <c r="D916" s="109">
        <v>0.1</v>
      </c>
      <c r="E916" s="100">
        <f>LISTA!$F$75</f>
        <v>305.58</v>
      </c>
      <c r="F916" s="100">
        <f>ROUND(D916*E916,2)</f>
        <v>30.56</v>
      </c>
      <c r="G916" s="100"/>
    </row>
    <row r="917" spans="1:8" x14ac:dyDescent="0.3">
      <c r="A917" s="114"/>
      <c r="B917" s="114"/>
      <c r="C917" s="115"/>
      <c r="D917" s="116"/>
      <c r="E917" s="117"/>
      <c r="F917" s="132"/>
      <c r="G917" s="113">
        <f>SUM(F912:F916)</f>
        <v>443.26</v>
      </c>
      <c r="H917" s="91"/>
    </row>
    <row r="918" spans="1:8" x14ac:dyDescent="0.3">
      <c r="C918" s="80"/>
      <c r="D918" s="125"/>
      <c r="E918" s="78"/>
      <c r="F918" s="78"/>
      <c r="G918" s="117"/>
    </row>
    <row r="919" spans="1:8" ht="15" thickBot="1" x14ac:dyDescent="0.35">
      <c r="A919" s="79" t="s">
        <v>166</v>
      </c>
      <c r="C919" s="80"/>
      <c r="D919" s="125"/>
      <c r="E919" s="78"/>
      <c r="F919" s="78"/>
      <c r="G919" s="78"/>
    </row>
    <row r="920" spans="1:8" ht="15" thickTop="1" x14ac:dyDescent="0.3">
      <c r="A920" s="84" t="s">
        <v>3</v>
      </c>
      <c r="B920" s="85" t="s">
        <v>135</v>
      </c>
      <c r="C920" s="86" t="s">
        <v>5</v>
      </c>
      <c r="D920" s="87" t="s">
        <v>6</v>
      </c>
      <c r="E920" s="88" t="s">
        <v>28</v>
      </c>
      <c r="F920" s="88" t="s">
        <v>28</v>
      </c>
      <c r="G920" s="89"/>
    </row>
    <row r="921" spans="1:8" ht="15" thickBot="1" x14ac:dyDescent="0.35">
      <c r="A921" s="90"/>
      <c r="B921" s="91"/>
      <c r="C921" s="92"/>
      <c r="D921" s="93"/>
      <c r="E921" s="94" t="s">
        <v>11</v>
      </c>
      <c r="F921" s="94" t="s">
        <v>10</v>
      </c>
      <c r="G921" s="89"/>
    </row>
    <row r="922" spans="1:8" ht="15" thickTop="1" x14ac:dyDescent="0.3">
      <c r="A922" s="95"/>
      <c r="B922" s="95" t="s">
        <v>167</v>
      </c>
      <c r="C922" s="126" t="s">
        <v>168</v>
      </c>
      <c r="D922" s="127">
        <v>0.4</v>
      </c>
      <c r="E922" s="134">
        <f>$F$22</f>
        <v>1238.96</v>
      </c>
      <c r="F922" s="134">
        <f>ROUND(D922*E922,2)</f>
        <v>495.58</v>
      </c>
      <c r="G922" s="100"/>
    </row>
    <row r="923" spans="1:8" x14ac:dyDescent="0.3">
      <c r="A923" s="102"/>
      <c r="B923" s="102" t="s">
        <v>169</v>
      </c>
      <c r="C923" s="108" t="s">
        <v>168</v>
      </c>
      <c r="D923" s="109">
        <v>0.25</v>
      </c>
      <c r="E923" s="100">
        <f>$F$39</f>
        <v>386.38</v>
      </c>
      <c r="F923" s="100">
        <f>ROUND(D923*E923,2)</f>
        <v>96.6</v>
      </c>
      <c r="G923" s="100"/>
    </row>
    <row r="924" spans="1:8" x14ac:dyDescent="0.3">
      <c r="A924" s="114"/>
      <c r="B924" s="114"/>
      <c r="C924" s="115"/>
      <c r="D924" s="116" t="s">
        <v>170</v>
      </c>
      <c r="E924" s="117"/>
      <c r="F924" s="132"/>
      <c r="G924" s="113">
        <f>SUM(F922:F923)</f>
        <v>592.17999999999995</v>
      </c>
      <c r="H924" s="91"/>
    </row>
    <row r="925" spans="1:8" ht="15" thickBot="1" x14ac:dyDescent="0.35">
      <c r="C925" s="80"/>
      <c r="D925" s="125"/>
      <c r="E925" s="78"/>
      <c r="F925" s="78"/>
      <c r="G925" s="117"/>
    </row>
    <row r="926" spans="1:8" ht="15.6" thickTop="1" thickBot="1" x14ac:dyDescent="0.35">
      <c r="C926" s="80"/>
      <c r="D926" s="125" t="s">
        <v>171</v>
      </c>
      <c r="E926" s="78"/>
      <c r="F926" s="78"/>
      <c r="G926" s="135">
        <f>SUM(G917:G924)</f>
        <v>1035.44</v>
      </c>
      <c r="H926" s="136"/>
    </row>
    <row r="927" spans="1:8" ht="15" thickTop="1" x14ac:dyDescent="0.3">
      <c r="C927" s="80"/>
      <c r="D927" s="125"/>
      <c r="E927" s="78"/>
      <c r="F927" s="78"/>
      <c r="G927" s="137"/>
    </row>
    <row r="928" spans="1:8" ht="15.6" x14ac:dyDescent="0.3">
      <c r="A928" s="79" t="s">
        <v>128</v>
      </c>
      <c r="B928" s="81" t="s">
        <v>232</v>
      </c>
      <c r="C928" s="80"/>
      <c r="D928" s="125"/>
      <c r="E928" s="78"/>
      <c r="F928" s="78"/>
      <c r="G928" s="78"/>
    </row>
    <row r="929" spans="1:8" ht="15.6" x14ac:dyDescent="0.3">
      <c r="A929" s="79" t="s">
        <v>130</v>
      </c>
      <c r="B929" s="81" t="s">
        <v>204</v>
      </c>
      <c r="C929" s="80"/>
      <c r="D929" s="125"/>
      <c r="E929" s="78"/>
      <c r="F929" s="78"/>
      <c r="G929" s="78"/>
    </row>
    <row r="930" spans="1:8" x14ac:dyDescent="0.3">
      <c r="C930" s="80"/>
      <c r="D930" s="125"/>
      <c r="E930" s="78"/>
      <c r="F930" s="78"/>
      <c r="G930" s="78"/>
    </row>
    <row r="931" spans="1:8" ht="15" thickBot="1" x14ac:dyDescent="0.35">
      <c r="A931" s="79" t="s">
        <v>161</v>
      </c>
      <c r="C931" s="80"/>
      <c r="D931" s="125"/>
      <c r="E931" s="78"/>
      <c r="F931" s="78"/>
      <c r="G931" s="78"/>
    </row>
    <row r="932" spans="1:8" ht="15" thickTop="1" x14ac:dyDescent="0.3">
      <c r="A932" s="84" t="s">
        <v>3</v>
      </c>
      <c r="B932" s="85" t="s">
        <v>135</v>
      </c>
      <c r="C932" s="86" t="s">
        <v>5</v>
      </c>
      <c r="D932" s="87" t="s">
        <v>6</v>
      </c>
      <c r="E932" s="88" t="s">
        <v>28</v>
      </c>
      <c r="F932" s="88" t="s">
        <v>28</v>
      </c>
      <c r="G932" s="89"/>
    </row>
    <row r="933" spans="1:8" ht="15" thickBot="1" x14ac:dyDescent="0.35">
      <c r="A933" s="90"/>
      <c r="B933" s="91"/>
      <c r="C933" s="92"/>
      <c r="D933" s="93"/>
      <c r="E933" s="94" t="s">
        <v>11</v>
      </c>
      <c r="F933" s="94" t="s">
        <v>10</v>
      </c>
      <c r="G933" s="89"/>
    </row>
    <row r="934" spans="1:8" ht="15" thickTop="1" x14ac:dyDescent="0.3">
      <c r="A934" s="95"/>
      <c r="B934" s="95" t="str">
        <f>LISTA!$C$10</f>
        <v>Cemento</v>
      </c>
      <c r="C934" s="126" t="str">
        <f>LISTA!$E$10</f>
        <v>Kg</v>
      </c>
      <c r="D934" s="127">
        <f>15*0.25</f>
        <v>3.75</v>
      </c>
      <c r="E934" s="134">
        <f>LISTA!$F$10</f>
        <v>6.15</v>
      </c>
      <c r="F934" s="134">
        <f>ROUND(D934*E934,2)</f>
        <v>23.06</v>
      </c>
      <c r="G934" s="100"/>
    </row>
    <row r="935" spans="1:8" x14ac:dyDescent="0.3">
      <c r="A935" s="102"/>
      <c r="B935" s="102" t="str">
        <f>LISTA!$C$11</f>
        <v xml:space="preserve">Arena </v>
      </c>
      <c r="C935" s="108" t="str">
        <f>LISTA!$E$11</f>
        <v>M3</v>
      </c>
      <c r="D935" s="109">
        <v>0.01</v>
      </c>
      <c r="E935" s="100">
        <f>LISTA!$F$11</f>
        <v>2890</v>
      </c>
      <c r="F935" s="100">
        <f>ROUND(D935*E935,2)</f>
        <v>28.9</v>
      </c>
      <c r="G935" s="100"/>
    </row>
    <row r="936" spans="1:8" x14ac:dyDescent="0.3">
      <c r="A936" s="114"/>
      <c r="B936" s="114"/>
      <c r="C936" s="115"/>
      <c r="D936" s="116"/>
      <c r="E936" s="117"/>
      <c r="F936" s="132"/>
      <c r="G936" s="113">
        <f>SUM(F934:F935)</f>
        <v>51.959999999999994</v>
      </c>
      <c r="H936" s="91"/>
    </row>
    <row r="937" spans="1:8" x14ac:dyDescent="0.3">
      <c r="C937" s="80"/>
      <c r="D937" s="125"/>
      <c r="E937" s="78"/>
      <c r="F937" s="78"/>
      <c r="G937" s="117"/>
    </row>
    <row r="938" spans="1:8" ht="15" thickBot="1" x14ac:dyDescent="0.35">
      <c r="A938" s="79" t="s">
        <v>166</v>
      </c>
      <c r="C938" s="80"/>
      <c r="D938" s="125"/>
      <c r="E938" s="78"/>
      <c r="F938" s="78"/>
      <c r="G938" s="78"/>
    </row>
    <row r="939" spans="1:8" ht="15" thickTop="1" x14ac:dyDescent="0.3">
      <c r="A939" s="84" t="s">
        <v>3</v>
      </c>
      <c r="B939" s="85" t="s">
        <v>135</v>
      </c>
      <c r="C939" s="86" t="s">
        <v>5</v>
      </c>
      <c r="D939" s="87" t="s">
        <v>6</v>
      </c>
      <c r="E939" s="88" t="s">
        <v>28</v>
      </c>
      <c r="F939" s="88" t="s">
        <v>28</v>
      </c>
      <c r="G939" s="89"/>
    </row>
    <row r="940" spans="1:8" ht="15" thickBot="1" x14ac:dyDescent="0.35">
      <c r="A940" s="90"/>
      <c r="B940" s="91"/>
      <c r="C940" s="92"/>
      <c r="D940" s="93"/>
      <c r="E940" s="94" t="s">
        <v>11</v>
      </c>
      <c r="F940" s="94" t="s">
        <v>10</v>
      </c>
      <c r="G940" s="89"/>
    </row>
    <row r="941" spans="1:8" ht="15" thickTop="1" x14ac:dyDescent="0.3">
      <c r="A941" s="95"/>
      <c r="B941" s="95" t="s">
        <v>167</v>
      </c>
      <c r="C941" s="126" t="s">
        <v>168</v>
      </c>
      <c r="D941" s="127">
        <v>0.5</v>
      </c>
      <c r="E941" s="134">
        <f>$F$22</f>
        <v>1238.96</v>
      </c>
      <c r="F941" s="134">
        <f>ROUND(D941*E941,2)</f>
        <v>619.48</v>
      </c>
      <c r="G941" s="100"/>
    </row>
    <row r="942" spans="1:8" x14ac:dyDescent="0.3">
      <c r="A942" s="102"/>
      <c r="B942" s="102" t="s">
        <v>169</v>
      </c>
      <c r="C942" s="108" t="s">
        <v>168</v>
      </c>
      <c r="D942" s="109">
        <v>0.2</v>
      </c>
      <c r="E942" s="100">
        <f>$F$39</f>
        <v>386.38</v>
      </c>
      <c r="F942" s="100">
        <f>ROUND(D942*E942,2)</f>
        <v>77.28</v>
      </c>
      <c r="G942" s="100"/>
    </row>
    <row r="943" spans="1:8" x14ac:dyDescent="0.3">
      <c r="A943" s="114"/>
      <c r="B943" s="114"/>
      <c r="C943" s="115"/>
      <c r="D943" s="116" t="s">
        <v>170</v>
      </c>
      <c r="E943" s="117"/>
      <c r="F943" s="132"/>
      <c r="G943" s="113">
        <f>SUM(F941:F942)</f>
        <v>696.76</v>
      </c>
      <c r="H943" s="91"/>
    </row>
    <row r="944" spans="1:8" ht="15" thickBot="1" x14ac:dyDescent="0.35">
      <c r="C944" s="80"/>
      <c r="D944" s="125"/>
      <c r="E944" s="78"/>
      <c r="F944" s="78"/>
      <c r="G944" s="117"/>
    </row>
    <row r="945" spans="1:8" ht="15.6" thickTop="1" thickBot="1" x14ac:dyDescent="0.35">
      <c r="C945" s="80"/>
      <c r="D945" s="125" t="s">
        <v>171</v>
      </c>
      <c r="E945" s="78"/>
      <c r="F945" s="78"/>
      <c r="G945" s="135">
        <f>SUM(G936:G943)</f>
        <v>748.72</v>
      </c>
      <c r="H945" s="136"/>
    </row>
    <row r="946" spans="1:8" ht="15" thickTop="1" x14ac:dyDescent="0.3">
      <c r="C946" s="80"/>
      <c r="D946" s="125"/>
      <c r="E946" s="78"/>
      <c r="F946" s="78"/>
      <c r="G946" s="137"/>
    </row>
    <row r="947" spans="1:8" ht="15.6" x14ac:dyDescent="0.3">
      <c r="A947" s="79" t="s">
        <v>128</v>
      </c>
      <c r="B947" s="81" t="s">
        <v>233</v>
      </c>
      <c r="C947" s="80"/>
      <c r="D947" s="125"/>
      <c r="E947" s="78"/>
      <c r="F947" s="78"/>
      <c r="G947" s="78"/>
    </row>
    <row r="948" spans="1:8" ht="15.6" x14ac:dyDescent="0.3">
      <c r="A948" s="79" t="s">
        <v>130</v>
      </c>
      <c r="B948" s="81" t="s">
        <v>204</v>
      </c>
      <c r="C948" s="80"/>
      <c r="D948" s="125"/>
      <c r="E948" s="78"/>
      <c r="F948" s="78"/>
      <c r="G948" s="78"/>
    </row>
    <row r="949" spans="1:8" x14ac:dyDescent="0.3">
      <c r="C949" s="80"/>
      <c r="D949" s="125"/>
      <c r="E949" s="78"/>
      <c r="F949" s="78"/>
      <c r="G949" s="78"/>
    </row>
    <row r="950" spans="1:8" ht="15" thickBot="1" x14ac:dyDescent="0.35">
      <c r="A950" s="79" t="s">
        <v>161</v>
      </c>
      <c r="C950" s="80"/>
      <c r="D950" s="125"/>
      <c r="E950" s="78"/>
      <c r="F950" s="78"/>
      <c r="G950" s="78"/>
    </row>
    <row r="951" spans="1:8" ht="15" thickTop="1" x14ac:dyDescent="0.3">
      <c r="A951" s="84" t="s">
        <v>3</v>
      </c>
      <c r="B951" s="85" t="s">
        <v>135</v>
      </c>
      <c r="C951" s="86" t="s">
        <v>5</v>
      </c>
      <c r="D951" s="87" t="s">
        <v>6</v>
      </c>
      <c r="E951" s="88" t="s">
        <v>28</v>
      </c>
      <c r="F951" s="88" t="s">
        <v>28</v>
      </c>
      <c r="G951" s="89"/>
    </row>
    <row r="952" spans="1:8" ht="15" thickBot="1" x14ac:dyDescent="0.35">
      <c r="A952" s="90"/>
      <c r="B952" s="91"/>
      <c r="C952" s="92"/>
      <c r="D952" s="93"/>
      <c r="E952" s="94" t="s">
        <v>11</v>
      </c>
      <c r="F952" s="94" t="s">
        <v>10</v>
      </c>
      <c r="G952" s="89"/>
    </row>
    <row r="953" spans="1:8" ht="15" thickTop="1" x14ac:dyDescent="0.3">
      <c r="A953" s="95"/>
      <c r="B953" s="95" t="str">
        <f>LISTA!$C$10</f>
        <v>Cemento</v>
      </c>
      <c r="C953" s="126" t="str">
        <f>LISTA!$E$10</f>
        <v>Kg</v>
      </c>
      <c r="D953" s="127">
        <f>300*0.1*0.15</f>
        <v>4.5</v>
      </c>
      <c r="E953" s="134">
        <f>LISTA!$F$10</f>
        <v>6.15</v>
      </c>
      <c r="F953" s="134">
        <f>ROUND(D953*E953,2)</f>
        <v>27.68</v>
      </c>
      <c r="G953" s="100"/>
    </row>
    <row r="954" spans="1:8" x14ac:dyDescent="0.3">
      <c r="A954" s="102"/>
      <c r="B954" s="102" t="str">
        <f>LISTA!$C$11</f>
        <v xml:space="preserve">Arena </v>
      </c>
      <c r="C954" s="108" t="str">
        <f>LISTA!$E$11</f>
        <v>M3</v>
      </c>
      <c r="D954" s="109">
        <f>0.65*0.1*0.15</f>
        <v>9.75E-3</v>
      </c>
      <c r="E954" s="100">
        <f>LISTA!$F$11</f>
        <v>2890</v>
      </c>
      <c r="F954" s="100">
        <f>ROUND(D954*E954,2)</f>
        <v>28.18</v>
      </c>
      <c r="G954" s="100"/>
    </row>
    <row r="955" spans="1:8" x14ac:dyDescent="0.3">
      <c r="A955" s="102"/>
      <c r="B955" s="102" t="str">
        <f>LISTA!C44</f>
        <v>Cascote de ladrillos</v>
      </c>
      <c r="C955" s="108" t="str">
        <f>LISTA!E44</f>
        <v>M3</v>
      </c>
      <c r="D955" s="109">
        <f>0.65*0.1*0.15</f>
        <v>9.75E-3</v>
      </c>
      <c r="E955" s="100">
        <f>LISTA!F44</f>
        <v>4500</v>
      </c>
      <c r="F955" s="100">
        <f>ROUND(D955*E955,2)</f>
        <v>43.88</v>
      </c>
      <c r="G955" s="100"/>
    </row>
    <row r="956" spans="1:8" x14ac:dyDescent="0.3">
      <c r="A956" s="102"/>
      <c r="B956" s="102" t="str">
        <f>LISTA!C13</f>
        <v>Hierro torsionado</v>
      </c>
      <c r="C956" s="108" t="str">
        <f>LISTA!E13</f>
        <v>Kg</v>
      </c>
      <c r="D956" s="109">
        <f>40*0.1*0.15</f>
        <v>0.6</v>
      </c>
      <c r="E956" s="100">
        <f>LISTA!F13</f>
        <v>1562</v>
      </c>
      <c r="F956" s="100">
        <f>ROUND(D956*E956,2)</f>
        <v>937.2</v>
      </c>
      <c r="G956" s="100"/>
    </row>
    <row r="957" spans="1:8" x14ac:dyDescent="0.3">
      <c r="A957" s="102"/>
      <c r="B957" s="102" t="str">
        <f>LISTA!C15</f>
        <v>Alambre Negro</v>
      </c>
      <c r="C957" s="108" t="str">
        <f>LISTA!E15</f>
        <v>Kg</v>
      </c>
      <c r="D957" s="109">
        <f>0.4*0.1*0.15</f>
        <v>6.000000000000001E-3</v>
      </c>
      <c r="E957" s="100">
        <f>LISTA!F15</f>
        <v>298</v>
      </c>
      <c r="F957" s="100">
        <f>ROUND(D957*E957,2)</f>
        <v>1.79</v>
      </c>
      <c r="G957" s="100"/>
    </row>
    <row r="958" spans="1:8" x14ac:dyDescent="0.3">
      <c r="A958" s="114"/>
      <c r="B958" s="114"/>
      <c r="C958" s="115"/>
      <c r="D958" s="116" t="s">
        <v>165</v>
      </c>
      <c r="E958" s="117"/>
      <c r="F958" s="132"/>
      <c r="G958" s="113">
        <f>SUM(F953:F957)</f>
        <v>1038.73</v>
      </c>
      <c r="H958" s="91"/>
    </row>
    <row r="959" spans="1:8" x14ac:dyDescent="0.3">
      <c r="C959" s="80"/>
      <c r="D959" s="125"/>
      <c r="E959" s="78"/>
      <c r="F959" s="78"/>
      <c r="G959" s="117"/>
    </row>
    <row r="960" spans="1:8" ht="15" thickBot="1" x14ac:dyDescent="0.35">
      <c r="A960" s="79" t="s">
        <v>166</v>
      </c>
      <c r="C960" s="80"/>
      <c r="D960" s="125"/>
      <c r="E960" s="78"/>
      <c r="F960" s="78"/>
      <c r="G960" s="78"/>
    </row>
    <row r="961" spans="1:8" ht="15" thickTop="1" x14ac:dyDescent="0.3">
      <c r="A961" s="84" t="s">
        <v>3</v>
      </c>
      <c r="B961" s="85" t="s">
        <v>135</v>
      </c>
      <c r="C961" s="86" t="s">
        <v>5</v>
      </c>
      <c r="D961" s="87" t="s">
        <v>6</v>
      </c>
      <c r="E961" s="88" t="s">
        <v>28</v>
      </c>
      <c r="F961" s="88" t="s">
        <v>28</v>
      </c>
      <c r="G961" s="89"/>
    </row>
    <row r="962" spans="1:8" ht="15" thickBot="1" x14ac:dyDescent="0.35">
      <c r="A962" s="90"/>
      <c r="B962" s="91"/>
      <c r="C962" s="92"/>
      <c r="D962" s="93"/>
      <c r="E962" s="94" t="s">
        <v>11</v>
      </c>
      <c r="F962" s="94" t="s">
        <v>10</v>
      </c>
      <c r="G962" s="89"/>
    </row>
    <row r="963" spans="1:8" ht="15" thickTop="1" x14ac:dyDescent="0.3">
      <c r="A963" s="95"/>
      <c r="B963" s="95" t="s">
        <v>167</v>
      </c>
      <c r="C963" s="126" t="s">
        <v>168</v>
      </c>
      <c r="D963" s="127">
        <v>0.5</v>
      </c>
      <c r="E963" s="134">
        <f>$F$22</f>
        <v>1238.96</v>
      </c>
      <c r="F963" s="134">
        <f>ROUND(D963*E963,2)</f>
        <v>619.48</v>
      </c>
      <c r="G963" s="100"/>
    </row>
    <row r="964" spans="1:8" x14ac:dyDescent="0.3">
      <c r="A964" s="102"/>
      <c r="B964" s="102" t="s">
        <v>169</v>
      </c>
      <c r="C964" s="108" t="s">
        <v>168</v>
      </c>
      <c r="D964" s="109">
        <v>0.4</v>
      </c>
      <c r="E964" s="100">
        <f>$F$39</f>
        <v>386.38</v>
      </c>
      <c r="F964" s="100">
        <f>ROUND(D964*E964,2)</f>
        <v>154.55000000000001</v>
      </c>
      <c r="G964" s="100"/>
    </row>
    <row r="965" spans="1:8" x14ac:dyDescent="0.3">
      <c r="A965" s="114"/>
      <c r="B965" s="114"/>
      <c r="C965" s="115"/>
      <c r="D965" s="116" t="s">
        <v>170</v>
      </c>
      <c r="E965" s="117"/>
      <c r="F965" s="132"/>
      <c r="G965" s="113">
        <f>SUM(F963:F964)</f>
        <v>774.03</v>
      </c>
      <c r="H965" s="91"/>
    </row>
    <row r="966" spans="1:8" ht="15" thickBot="1" x14ac:dyDescent="0.35">
      <c r="C966" s="80"/>
      <c r="D966" s="125"/>
      <c r="E966" s="78"/>
      <c r="F966" s="78"/>
      <c r="G966" s="117"/>
    </row>
    <row r="967" spans="1:8" ht="15.6" thickTop="1" thickBot="1" x14ac:dyDescent="0.35">
      <c r="C967" s="80"/>
      <c r="D967" s="125" t="s">
        <v>171</v>
      </c>
      <c r="E967" s="78"/>
      <c r="F967" s="78"/>
      <c r="G967" s="135">
        <f>SUM(G958:G965)</f>
        <v>1812.76</v>
      </c>
      <c r="H967" s="136"/>
    </row>
    <row r="968" spans="1:8" ht="15" thickTop="1" x14ac:dyDescent="0.3">
      <c r="C968" s="80"/>
      <c r="D968" s="125"/>
      <c r="E968" s="78"/>
      <c r="F968" s="78"/>
      <c r="G968" s="137"/>
    </row>
    <row r="969" spans="1:8" ht="15.6" x14ac:dyDescent="0.3">
      <c r="A969" s="79" t="s">
        <v>128</v>
      </c>
      <c r="B969" s="81" t="s">
        <v>234</v>
      </c>
      <c r="C969" s="80"/>
      <c r="D969" s="125"/>
      <c r="E969" s="78"/>
      <c r="F969" s="78"/>
      <c r="G969" s="78"/>
    </row>
    <row r="970" spans="1:8" ht="15.6" x14ac:dyDescent="0.3">
      <c r="A970" s="79" t="s">
        <v>130</v>
      </c>
      <c r="B970" s="81" t="s">
        <v>202</v>
      </c>
      <c r="C970" s="80"/>
      <c r="D970" s="125"/>
      <c r="E970" s="78"/>
      <c r="F970" s="78"/>
      <c r="G970" s="78"/>
    </row>
    <row r="971" spans="1:8" x14ac:dyDescent="0.3">
      <c r="C971" s="80"/>
      <c r="D971" s="125"/>
      <c r="E971" s="78"/>
      <c r="F971" s="78"/>
      <c r="G971" s="78"/>
    </row>
    <row r="972" spans="1:8" ht="15" thickBot="1" x14ac:dyDescent="0.35">
      <c r="A972" s="79" t="s">
        <v>161</v>
      </c>
      <c r="C972" s="80"/>
      <c r="D972" s="125"/>
      <c r="E972" s="78"/>
      <c r="F972" s="78"/>
      <c r="G972" s="78"/>
    </row>
    <row r="973" spans="1:8" ht="15" thickTop="1" x14ac:dyDescent="0.3">
      <c r="A973" s="84" t="s">
        <v>3</v>
      </c>
      <c r="B973" s="85" t="s">
        <v>135</v>
      </c>
      <c r="C973" s="86" t="s">
        <v>5</v>
      </c>
      <c r="D973" s="87" t="s">
        <v>6</v>
      </c>
      <c r="E973" s="88" t="s">
        <v>28</v>
      </c>
      <c r="F973" s="88" t="s">
        <v>28</v>
      </c>
      <c r="G973" s="89"/>
    </row>
    <row r="974" spans="1:8" ht="15" thickBot="1" x14ac:dyDescent="0.35">
      <c r="A974" s="90"/>
      <c r="B974" s="91"/>
      <c r="C974" s="92"/>
      <c r="D974" s="93"/>
      <c r="E974" s="94" t="s">
        <v>11</v>
      </c>
      <c r="F974" s="94" t="s">
        <v>10</v>
      </c>
      <c r="G974" s="89"/>
    </row>
    <row r="975" spans="1:8" ht="15" thickTop="1" x14ac:dyDescent="0.3">
      <c r="A975" s="95"/>
      <c r="B975" s="95" t="str">
        <f>LISTA!$C$88</f>
        <v>Lana de vidrio de 38mm</v>
      </c>
      <c r="C975" s="126" t="str">
        <f>LISTA!E$88</f>
        <v>M2</v>
      </c>
      <c r="D975" s="127">
        <v>1.05</v>
      </c>
      <c r="E975" s="134">
        <f>LISTA!F$88</f>
        <v>4370</v>
      </c>
      <c r="F975" s="134">
        <f>ROUND(D975*E975,2)</f>
        <v>4588.5</v>
      </c>
      <c r="G975" s="100"/>
    </row>
    <row r="976" spans="1:8" x14ac:dyDescent="0.3">
      <c r="A976" s="102"/>
      <c r="B976" s="102"/>
      <c r="C976" s="108"/>
      <c r="D976" s="109"/>
      <c r="E976" s="100"/>
      <c r="F976" s="100"/>
      <c r="G976" s="100"/>
    </row>
    <row r="977" spans="1:8" x14ac:dyDescent="0.3">
      <c r="A977" s="114"/>
      <c r="B977" s="114"/>
      <c r="C977" s="115"/>
      <c r="D977" s="116" t="s">
        <v>165</v>
      </c>
      <c r="E977" s="117"/>
      <c r="F977" s="132"/>
      <c r="G977" s="113">
        <f>SUM(F975:F976)</f>
        <v>4588.5</v>
      </c>
      <c r="H977" s="91"/>
    </row>
    <row r="978" spans="1:8" x14ac:dyDescent="0.3">
      <c r="C978" s="80"/>
      <c r="D978" s="125"/>
      <c r="E978" s="78"/>
      <c r="F978" s="78"/>
      <c r="G978" s="117"/>
    </row>
    <row r="979" spans="1:8" ht="15" thickBot="1" x14ac:dyDescent="0.35">
      <c r="A979" s="79" t="s">
        <v>166</v>
      </c>
      <c r="C979" s="80"/>
      <c r="D979" s="125"/>
      <c r="E979" s="78"/>
      <c r="F979" s="78"/>
      <c r="G979" s="78"/>
    </row>
    <row r="980" spans="1:8" ht="15" thickTop="1" x14ac:dyDescent="0.3">
      <c r="A980" s="84" t="s">
        <v>3</v>
      </c>
      <c r="B980" s="85" t="s">
        <v>135</v>
      </c>
      <c r="C980" s="86" t="s">
        <v>5</v>
      </c>
      <c r="D980" s="87" t="s">
        <v>6</v>
      </c>
      <c r="E980" s="88" t="s">
        <v>28</v>
      </c>
      <c r="F980" s="88" t="s">
        <v>28</v>
      </c>
      <c r="G980" s="89"/>
    </row>
    <row r="981" spans="1:8" ht="15" thickBot="1" x14ac:dyDescent="0.35">
      <c r="A981" s="90"/>
      <c r="B981" s="91"/>
      <c r="C981" s="92"/>
      <c r="D981" s="93"/>
      <c r="E981" s="94" t="s">
        <v>11</v>
      </c>
      <c r="F981" s="94" t="s">
        <v>10</v>
      </c>
      <c r="G981" s="89"/>
    </row>
    <row r="982" spans="1:8" ht="15" thickTop="1" x14ac:dyDescent="0.3">
      <c r="A982" s="95"/>
      <c r="B982" s="95" t="s">
        <v>167</v>
      </c>
      <c r="C982" s="126" t="s">
        <v>168</v>
      </c>
      <c r="D982" s="127">
        <v>0.05</v>
      </c>
      <c r="E982" s="134">
        <f>$F$22</f>
        <v>1238.96</v>
      </c>
      <c r="F982" s="134">
        <f>ROUND(D982*E982,2)</f>
        <v>61.95</v>
      </c>
      <c r="G982" s="100"/>
    </row>
    <row r="983" spans="1:8" x14ac:dyDescent="0.3">
      <c r="A983" s="102"/>
      <c r="B983" s="102" t="s">
        <v>169</v>
      </c>
      <c r="C983" s="108" t="s">
        <v>168</v>
      </c>
      <c r="D983" s="109">
        <v>0.1</v>
      </c>
      <c r="E983" s="100">
        <f>$F$39</f>
        <v>386.38</v>
      </c>
      <c r="F983" s="100">
        <f>ROUND(D983*E983,2)</f>
        <v>38.64</v>
      </c>
      <c r="G983" s="100"/>
    </row>
    <row r="984" spans="1:8" x14ac:dyDescent="0.3">
      <c r="A984" s="114"/>
      <c r="B984" s="114"/>
      <c r="C984" s="115"/>
      <c r="D984" s="116" t="s">
        <v>170</v>
      </c>
      <c r="E984" s="117"/>
      <c r="F984" s="132"/>
      <c r="G984" s="113">
        <f>SUM(F982:F983)</f>
        <v>100.59</v>
      </c>
      <c r="H984" s="91"/>
    </row>
    <row r="985" spans="1:8" ht="15" thickBot="1" x14ac:dyDescent="0.35">
      <c r="C985" s="80"/>
      <c r="D985" s="125"/>
      <c r="E985" s="78"/>
      <c r="F985" s="78"/>
      <c r="G985" s="117"/>
    </row>
    <row r="986" spans="1:8" ht="15.6" thickTop="1" thickBot="1" x14ac:dyDescent="0.35">
      <c r="C986" s="80"/>
      <c r="D986" s="125" t="s">
        <v>171</v>
      </c>
      <c r="E986" s="78"/>
      <c r="F986" s="78"/>
      <c r="G986" s="135">
        <f>SUM(G977:G984)</f>
        <v>4689.09</v>
      </c>
      <c r="H986" s="136"/>
    </row>
    <row r="987" spans="1:8" ht="15" thickTop="1" x14ac:dyDescent="0.3">
      <c r="C987" s="80"/>
      <c r="D987" s="125"/>
      <c r="E987" s="78"/>
      <c r="F987" s="78"/>
      <c r="G987" s="137"/>
    </row>
    <row r="988" spans="1:8" ht="15.6" x14ac:dyDescent="0.3">
      <c r="A988" s="79" t="s">
        <v>128</v>
      </c>
      <c r="B988" s="81" t="s">
        <v>235</v>
      </c>
      <c r="C988" s="80"/>
      <c r="D988" s="125"/>
      <c r="E988" s="78"/>
      <c r="F988" s="78"/>
      <c r="G988" s="78"/>
    </row>
    <row r="989" spans="1:8" ht="15.6" x14ac:dyDescent="0.3">
      <c r="A989" s="79" t="s">
        <v>130</v>
      </c>
      <c r="B989" s="81" t="s">
        <v>202</v>
      </c>
      <c r="C989" s="80"/>
      <c r="D989" s="125"/>
      <c r="E989" s="78"/>
      <c r="F989" s="78"/>
      <c r="G989" s="78"/>
    </row>
    <row r="990" spans="1:8" x14ac:dyDescent="0.3">
      <c r="C990" s="80"/>
      <c r="D990" s="125"/>
      <c r="E990" s="78"/>
      <c r="F990" s="78"/>
      <c r="G990" s="78"/>
    </row>
    <row r="991" spans="1:8" ht="15" thickBot="1" x14ac:dyDescent="0.35">
      <c r="A991" s="79" t="s">
        <v>161</v>
      </c>
      <c r="C991" s="80"/>
      <c r="D991" s="125"/>
      <c r="E991" s="78"/>
      <c r="F991" s="78"/>
      <c r="G991" s="78"/>
    </row>
    <row r="992" spans="1:8" ht="15" thickTop="1" x14ac:dyDescent="0.3">
      <c r="A992" s="84" t="s">
        <v>3</v>
      </c>
      <c r="B992" s="85" t="s">
        <v>135</v>
      </c>
      <c r="C992" s="86" t="s">
        <v>5</v>
      </c>
      <c r="D992" s="87" t="s">
        <v>6</v>
      </c>
      <c r="E992" s="88" t="s">
        <v>28</v>
      </c>
      <c r="F992" s="88" t="s">
        <v>28</v>
      </c>
      <c r="G992" s="89"/>
    </row>
    <row r="993" spans="1:8" ht="15" thickBot="1" x14ac:dyDescent="0.35">
      <c r="A993" s="90"/>
      <c r="B993" s="91"/>
      <c r="C993" s="92"/>
      <c r="D993" s="93"/>
      <c r="E993" s="94" t="s">
        <v>11</v>
      </c>
      <c r="F993" s="94" t="s">
        <v>10</v>
      </c>
      <c r="G993" s="89"/>
    </row>
    <row r="994" spans="1:8" ht="15" thickTop="1" x14ac:dyDescent="0.3">
      <c r="A994" s="95"/>
      <c r="B994" s="95" t="str">
        <f>LISTA!$C$89</f>
        <v>Isopor en planchas de 1"</v>
      </c>
      <c r="C994" s="126" t="str">
        <f>LISTA!E$89</f>
        <v>M2</v>
      </c>
      <c r="D994" s="127">
        <v>1.05</v>
      </c>
      <c r="E994" s="134">
        <f>LISTA!F$89</f>
        <v>86.81</v>
      </c>
      <c r="F994" s="134">
        <f>ROUND(D994*E994,2)</f>
        <v>91.15</v>
      </c>
      <c r="G994" s="100"/>
    </row>
    <row r="995" spans="1:8" x14ac:dyDescent="0.3">
      <c r="A995" s="102"/>
      <c r="B995" s="102"/>
      <c r="C995" s="108"/>
      <c r="D995" s="109"/>
      <c r="E995" s="100"/>
      <c r="F995" s="100"/>
      <c r="G995" s="100"/>
    </row>
    <row r="996" spans="1:8" x14ac:dyDescent="0.3">
      <c r="A996" s="114"/>
      <c r="B996" s="114"/>
      <c r="C996" s="115"/>
      <c r="D996" s="116" t="s">
        <v>165</v>
      </c>
      <c r="E996" s="117"/>
      <c r="F996" s="132"/>
      <c r="G996" s="113">
        <f>SUM(F994:F995)</f>
        <v>91.15</v>
      </c>
      <c r="H996" s="91"/>
    </row>
    <row r="997" spans="1:8" x14ac:dyDescent="0.3">
      <c r="C997" s="80"/>
      <c r="D997" s="125"/>
      <c r="E997" s="78"/>
      <c r="F997" s="78"/>
      <c r="G997" s="117"/>
    </row>
    <row r="998" spans="1:8" ht="15" thickBot="1" x14ac:dyDescent="0.35">
      <c r="A998" s="79" t="s">
        <v>166</v>
      </c>
      <c r="C998" s="80"/>
      <c r="D998" s="125"/>
      <c r="E998" s="78"/>
      <c r="F998" s="78"/>
      <c r="G998" s="78"/>
    </row>
    <row r="999" spans="1:8" ht="15" thickTop="1" x14ac:dyDescent="0.3">
      <c r="A999" s="84" t="s">
        <v>3</v>
      </c>
      <c r="B999" s="85" t="s">
        <v>135</v>
      </c>
      <c r="C999" s="86" t="s">
        <v>5</v>
      </c>
      <c r="D999" s="87" t="s">
        <v>6</v>
      </c>
      <c r="E999" s="88" t="s">
        <v>28</v>
      </c>
      <c r="F999" s="88" t="s">
        <v>28</v>
      </c>
      <c r="G999" s="89"/>
    </row>
    <row r="1000" spans="1:8" ht="15" thickBot="1" x14ac:dyDescent="0.35">
      <c r="A1000" s="90"/>
      <c r="B1000" s="91"/>
      <c r="C1000" s="92"/>
      <c r="D1000" s="93"/>
      <c r="E1000" s="94" t="s">
        <v>11</v>
      </c>
      <c r="F1000" s="94" t="s">
        <v>10</v>
      </c>
      <c r="G1000" s="89"/>
    </row>
    <row r="1001" spans="1:8" ht="15" thickTop="1" x14ac:dyDescent="0.3">
      <c r="A1001" s="95"/>
      <c r="B1001" s="95" t="s">
        <v>167</v>
      </c>
      <c r="C1001" s="126" t="s">
        <v>168</v>
      </c>
      <c r="D1001" s="127">
        <v>0.05</v>
      </c>
      <c r="E1001" s="134">
        <f>$F$22</f>
        <v>1238.96</v>
      </c>
      <c r="F1001" s="134">
        <f>ROUND(D1001*E1001,2)</f>
        <v>61.95</v>
      </c>
      <c r="G1001" s="100"/>
    </row>
    <row r="1002" spans="1:8" x14ac:dyDescent="0.3">
      <c r="A1002" s="102"/>
      <c r="B1002" s="102" t="s">
        <v>169</v>
      </c>
      <c r="C1002" s="108" t="s">
        <v>168</v>
      </c>
      <c r="D1002" s="109">
        <v>0.1</v>
      </c>
      <c r="E1002" s="100">
        <f>$F$39</f>
        <v>386.38</v>
      </c>
      <c r="F1002" s="100">
        <f>ROUND(D1002*E1002,2)</f>
        <v>38.64</v>
      </c>
      <c r="G1002" s="100"/>
    </row>
    <row r="1003" spans="1:8" x14ac:dyDescent="0.3">
      <c r="A1003" s="114"/>
      <c r="B1003" s="114"/>
      <c r="C1003" s="115"/>
      <c r="D1003" s="116" t="s">
        <v>170</v>
      </c>
      <c r="E1003" s="117"/>
      <c r="F1003" s="132"/>
      <c r="G1003" s="113">
        <f>SUM(F1001:F1002)</f>
        <v>100.59</v>
      </c>
      <c r="H1003" s="91"/>
    </row>
    <row r="1004" spans="1:8" ht="15" thickBot="1" x14ac:dyDescent="0.35">
      <c r="C1004" s="80"/>
      <c r="D1004" s="125"/>
      <c r="E1004" s="78"/>
      <c r="F1004" s="78"/>
      <c r="G1004" s="117"/>
    </row>
    <row r="1005" spans="1:8" ht="15.6" thickTop="1" thickBot="1" x14ac:dyDescent="0.35">
      <c r="C1005" s="80"/>
      <c r="D1005" s="125" t="s">
        <v>171</v>
      </c>
      <c r="E1005" s="78"/>
      <c r="F1005" s="78"/>
      <c r="G1005" s="135">
        <f>SUM(G996:G1003)</f>
        <v>191.74</v>
      </c>
      <c r="H1005" s="136"/>
    </row>
    <row r="1006" spans="1:8" ht="15" thickTop="1" x14ac:dyDescent="0.3">
      <c r="C1006" s="80"/>
      <c r="D1006" s="125"/>
      <c r="E1006" s="78"/>
      <c r="F1006" s="78"/>
      <c r="G1006" s="137"/>
    </row>
    <row r="1007" spans="1:8" ht="15.6" x14ac:dyDescent="0.3">
      <c r="A1007" s="79" t="s">
        <v>128</v>
      </c>
      <c r="B1007" s="81" t="s">
        <v>236</v>
      </c>
      <c r="C1007" s="80"/>
      <c r="D1007" s="125"/>
      <c r="E1007" s="78"/>
      <c r="F1007" s="78"/>
      <c r="G1007" s="78"/>
    </row>
    <row r="1008" spans="1:8" ht="15.6" x14ac:dyDescent="0.3">
      <c r="A1008" s="79" t="s">
        <v>130</v>
      </c>
      <c r="B1008" s="81" t="s">
        <v>202</v>
      </c>
      <c r="C1008" s="80"/>
      <c r="D1008" s="125"/>
      <c r="E1008" s="78"/>
      <c r="F1008" s="78"/>
      <c r="G1008" s="78"/>
    </row>
    <row r="1009" spans="1:8" x14ac:dyDescent="0.3">
      <c r="C1009" s="80"/>
      <c r="D1009" s="125"/>
      <c r="E1009" s="78"/>
      <c r="F1009" s="78"/>
      <c r="G1009" s="78"/>
    </row>
    <row r="1010" spans="1:8" ht="15" thickBot="1" x14ac:dyDescent="0.35">
      <c r="A1010" s="79" t="s">
        <v>161</v>
      </c>
      <c r="C1010" s="80"/>
      <c r="D1010" s="125"/>
      <c r="E1010" s="78"/>
      <c r="F1010" s="78"/>
      <c r="G1010" s="78"/>
    </row>
    <row r="1011" spans="1:8" ht="15" thickTop="1" x14ac:dyDescent="0.3">
      <c r="A1011" s="84" t="s">
        <v>3</v>
      </c>
      <c r="B1011" s="85" t="s">
        <v>135</v>
      </c>
      <c r="C1011" s="86" t="s">
        <v>5</v>
      </c>
      <c r="D1011" s="87" t="s">
        <v>6</v>
      </c>
      <c r="E1011" s="88" t="s">
        <v>28</v>
      </c>
      <c r="F1011" s="88" t="s">
        <v>28</v>
      </c>
      <c r="G1011" s="89"/>
    </row>
    <row r="1012" spans="1:8" ht="15" thickBot="1" x14ac:dyDescent="0.35">
      <c r="A1012" s="90"/>
      <c r="B1012" s="91"/>
      <c r="C1012" s="92"/>
      <c r="D1012" s="93"/>
      <c r="E1012" s="94" t="s">
        <v>11</v>
      </c>
      <c r="F1012" s="94" t="s">
        <v>10</v>
      </c>
      <c r="G1012" s="89"/>
    </row>
    <row r="1013" spans="1:8" ht="15" thickTop="1" x14ac:dyDescent="0.3">
      <c r="A1013" s="95"/>
      <c r="B1013" s="95" t="str">
        <f>LISTA!$C$40</f>
        <v>Placas de yeso 9,5 mm</v>
      </c>
      <c r="C1013" s="126" t="str">
        <f>LISTA!$E$40</f>
        <v>M2</v>
      </c>
      <c r="D1013" s="127">
        <v>1.05</v>
      </c>
      <c r="E1013" s="134">
        <f>LISTA!$F$40</f>
        <v>661</v>
      </c>
      <c r="F1013" s="134">
        <f t="shared" ref="F1013:F1018" si="8">ROUND(D1013*E1013,2)</f>
        <v>694.05</v>
      </c>
      <c r="G1013" s="100"/>
    </row>
    <row r="1014" spans="1:8" x14ac:dyDescent="0.3">
      <c r="A1014" s="102"/>
      <c r="B1014" s="102" t="str">
        <f>LISTA!$C$41</f>
        <v>Perfil Galera Chº electricinc. prepintada</v>
      </c>
      <c r="C1014" s="108" t="str">
        <f>LISTA!$E$41</f>
        <v>Ml</v>
      </c>
      <c r="D1014" s="109">
        <v>2.1</v>
      </c>
      <c r="E1014" s="100">
        <f>LISTA!$F$41</f>
        <v>139</v>
      </c>
      <c r="F1014" s="100">
        <f t="shared" si="8"/>
        <v>291.89999999999998</v>
      </c>
      <c r="G1014" s="100"/>
    </row>
    <row r="1015" spans="1:8" x14ac:dyDescent="0.3">
      <c r="A1015" s="102"/>
      <c r="B1015" s="102" t="str">
        <f>LISTA!$C$42</f>
        <v>Perfil L Chº electricincada prepintada</v>
      </c>
      <c r="C1015" s="108" t="str">
        <f>LISTA!$E$42</f>
        <v>Ml</v>
      </c>
      <c r="D1015" s="109">
        <v>0.6</v>
      </c>
      <c r="E1015" s="100">
        <f>LISTA!$F$42</f>
        <v>161</v>
      </c>
      <c r="F1015" s="100">
        <f t="shared" si="8"/>
        <v>96.6</v>
      </c>
      <c r="G1015" s="100"/>
    </row>
    <row r="1016" spans="1:8" x14ac:dyDescent="0.3">
      <c r="A1016" s="102"/>
      <c r="B1016" s="102" t="str">
        <f>LISTA!$C$43</f>
        <v>Alambre Galvanizado Nº 13</v>
      </c>
      <c r="C1016" s="108" t="str">
        <f>LISTA!$E$43</f>
        <v>Kg</v>
      </c>
      <c r="D1016" s="109">
        <v>7.0000000000000007E-2</v>
      </c>
      <c r="E1016" s="100">
        <f>LISTA!$F$43</f>
        <v>1800</v>
      </c>
      <c r="F1016" s="100">
        <f t="shared" si="8"/>
        <v>126</v>
      </c>
      <c r="G1016" s="100"/>
    </row>
    <row r="1017" spans="1:8" x14ac:dyDescent="0.3">
      <c r="A1017" s="102"/>
      <c r="B1017" s="102" t="str">
        <f>LISTA!$C$53</f>
        <v>Látex p/cielorrasos</v>
      </c>
      <c r="C1017" s="108" t="str">
        <f>LISTA!E$53</f>
        <v>Lts</v>
      </c>
      <c r="D1017" s="109">
        <v>0.35</v>
      </c>
      <c r="E1017" s="100">
        <f>LISTA!F$53</f>
        <v>4796</v>
      </c>
      <c r="F1017" s="100">
        <f t="shared" si="8"/>
        <v>1678.6</v>
      </c>
      <c r="G1017" s="100"/>
    </row>
    <row r="1018" spans="1:8" x14ac:dyDescent="0.3">
      <c r="A1018" s="102"/>
      <c r="B1018" s="102" t="s">
        <v>237</v>
      </c>
      <c r="C1018" s="108" t="s">
        <v>1</v>
      </c>
      <c r="D1018" s="109">
        <v>0.1</v>
      </c>
      <c r="E1018" s="100">
        <f>F1014</f>
        <v>291.89999999999998</v>
      </c>
      <c r="F1018" s="100">
        <f t="shared" si="8"/>
        <v>29.19</v>
      </c>
      <c r="G1018" s="100"/>
    </row>
    <row r="1019" spans="1:8" x14ac:dyDescent="0.3">
      <c r="A1019" s="114"/>
      <c r="B1019" s="114"/>
      <c r="C1019" s="115"/>
      <c r="D1019" s="116" t="s">
        <v>165</v>
      </c>
      <c r="E1019" s="117"/>
      <c r="F1019" s="132"/>
      <c r="G1019" s="113">
        <f>SUM(F1013:F1017)</f>
        <v>2887.1499999999996</v>
      </c>
      <c r="H1019" s="91"/>
    </row>
    <row r="1020" spans="1:8" x14ac:dyDescent="0.3">
      <c r="C1020" s="80"/>
      <c r="D1020" s="125"/>
      <c r="E1020" s="78"/>
      <c r="F1020" s="78"/>
      <c r="G1020" s="117"/>
    </row>
    <row r="1021" spans="1:8" ht="15" thickBot="1" x14ac:dyDescent="0.35">
      <c r="A1021" s="79" t="s">
        <v>166</v>
      </c>
      <c r="C1021" s="80"/>
      <c r="D1021" s="125"/>
      <c r="E1021" s="78"/>
      <c r="F1021" s="78"/>
      <c r="G1021" s="78"/>
    </row>
    <row r="1022" spans="1:8" ht="15" thickTop="1" x14ac:dyDescent="0.3">
      <c r="A1022" s="84" t="s">
        <v>3</v>
      </c>
      <c r="B1022" s="85" t="s">
        <v>135</v>
      </c>
      <c r="C1022" s="86" t="s">
        <v>5</v>
      </c>
      <c r="D1022" s="87" t="s">
        <v>6</v>
      </c>
      <c r="E1022" s="88" t="s">
        <v>28</v>
      </c>
      <c r="F1022" s="88" t="s">
        <v>28</v>
      </c>
      <c r="G1022" s="89"/>
    </row>
    <row r="1023" spans="1:8" ht="15" thickBot="1" x14ac:dyDescent="0.35">
      <c r="A1023" s="90"/>
      <c r="B1023" s="91"/>
      <c r="C1023" s="92"/>
      <c r="D1023" s="93"/>
      <c r="E1023" s="94" t="s">
        <v>11</v>
      </c>
      <c r="F1023" s="94" t="s">
        <v>10</v>
      </c>
      <c r="G1023" s="89"/>
    </row>
    <row r="1024" spans="1:8" ht="15" thickTop="1" x14ac:dyDescent="0.3">
      <c r="A1024" s="95"/>
      <c r="B1024" s="95" t="s">
        <v>167</v>
      </c>
      <c r="C1024" s="126" t="s">
        <v>168</v>
      </c>
      <c r="D1024" s="127">
        <v>1</v>
      </c>
      <c r="E1024" s="134">
        <f>$F$22</f>
        <v>1238.96</v>
      </c>
      <c r="F1024" s="134">
        <f>ROUND(D1024*E1024,2)</f>
        <v>1238.96</v>
      </c>
      <c r="G1024" s="100"/>
    </row>
    <row r="1025" spans="1:8" x14ac:dyDescent="0.3">
      <c r="A1025" s="102"/>
      <c r="B1025" s="102" t="s">
        <v>238</v>
      </c>
      <c r="C1025" s="108" t="s">
        <v>168</v>
      </c>
      <c r="D1025" s="109">
        <v>0.35</v>
      </c>
      <c r="E1025" s="100">
        <f>E1024*1.2</f>
        <v>1486.752</v>
      </c>
      <c r="F1025" s="100">
        <f>ROUND(D1025*E1025,2)</f>
        <v>520.36</v>
      </c>
      <c r="G1025" s="100"/>
    </row>
    <row r="1026" spans="1:8" x14ac:dyDescent="0.3">
      <c r="A1026" s="102"/>
      <c r="B1026" s="102" t="s">
        <v>169</v>
      </c>
      <c r="C1026" s="108" t="s">
        <v>168</v>
      </c>
      <c r="D1026" s="109">
        <v>0.35</v>
      </c>
      <c r="E1026" s="100">
        <f>$F$39</f>
        <v>386.38</v>
      </c>
      <c r="F1026" s="100">
        <f>ROUND(D1026*E1026,2)</f>
        <v>135.22999999999999</v>
      </c>
      <c r="G1026" s="100"/>
    </row>
    <row r="1027" spans="1:8" x14ac:dyDescent="0.3">
      <c r="A1027" s="114"/>
      <c r="B1027" s="114"/>
      <c r="C1027" s="115"/>
      <c r="D1027" s="116" t="s">
        <v>170</v>
      </c>
      <c r="E1027" s="117"/>
      <c r="F1027" s="132"/>
      <c r="G1027" s="113">
        <f>SUM(F1024:F1026)</f>
        <v>1894.5500000000002</v>
      </c>
      <c r="H1027" s="91"/>
    </row>
    <row r="1028" spans="1:8" ht="15" thickBot="1" x14ac:dyDescent="0.35">
      <c r="C1028" s="80"/>
      <c r="D1028" s="125"/>
      <c r="E1028" s="78"/>
      <c r="F1028" s="78"/>
      <c r="G1028" s="117"/>
    </row>
    <row r="1029" spans="1:8" ht="15.6" thickTop="1" thickBot="1" x14ac:dyDescent="0.35">
      <c r="C1029" s="80"/>
      <c r="D1029" s="125" t="s">
        <v>171</v>
      </c>
      <c r="E1029" s="78"/>
      <c r="F1029" s="78"/>
      <c r="G1029" s="135">
        <f>SUM(G1019:G1027)</f>
        <v>4781.7</v>
      </c>
      <c r="H1029" s="136"/>
    </row>
    <row r="1030" spans="1:8" ht="15" thickTop="1" x14ac:dyDescent="0.3">
      <c r="C1030" s="80"/>
      <c r="D1030" s="125"/>
      <c r="E1030" s="78"/>
      <c r="F1030" s="78"/>
      <c r="G1030" s="137"/>
    </row>
    <row r="1031" spans="1:8" ht="15.6" x14ac:dyDescent="0.3">
      <c r="A1031" s="79" t="s">
        <v>128</v>
      </c>
      <c r="B1031" s="81" t="s">
        <v>239</v>
      </c>
      <c r="C1031" s="80"/>
      <c r="D1031" s="125"/>
      <c r="E1031" s="78"/>
      <c r="F1031" s="78"/>
      <c r="G1031" s="78"/>
    </row>
    <row r="1032" spans="1:8" ht="15.6" x14ac:dyDescent="0.3">
      <c r="A1032" s="79" t="s">
        <v>130</v>
      </c>
      <c r="B1032" s="81" t="s">
        <v>202</v>
      </c>
      <c r="C1032" s="80"/>
      <c r="D1032" s="125"/>
      <c r="E1032" s="78"/>
      <c r="F1032" s="78"/>
      <c r="G1032" s="78"/>
    </row>
    <row r="1033" spans="1:8" x14ac:dyDescent="0.3">
      <c r="C1033" s="80"/>
      <c r="D1033" s="125"/>
      <c r="E1033" s="78"/>
      <c r="F1033" s="78"/>
      <c r="G1033" s="78"/>
    </row>
    <row r="1034" spans="1:8" ht="15" thickBot="1" x14ac:dyDescent="0.35">
      <c r="A1034" s="79" t="s">
        <v>161</v>
      </c>
      <c r="C1034" s="80"/>
      <c r="D1034" s="125"/>
      <c r="E1034" s="78"/>
      <c r="F1034" s="78"/>
      <c r="G1034" s="78"/>
    </row>
    <row r="1035" spans="1:8" ht="15" thickTop="1" x14ac:dyDescent="0.3">
      <c r="A1035" s="84" t="s">
        <v>3</v>
      </c>
      <c r="B1035" s="85" t="s">
        <v>135</v>
      </c>
      <c r="C1035" s="86" t="s">
        <v>5</v>
      </c>
      <c r="D1035" s="87" t="s">
        <v>6</v>
      </c>
      <c r="E1035" s="88" t="s">
        <v>28</v>
      </c>
      <c r="F1035" s="88" t="s">
        <v>28</v>
      </c>
      <c r="G1035" s="89"/>
    </row>
    <row r="1036" spans="1:8" ht="15" thickBot="1" x14ac:dyDescent="0.35">
      <c r="A1036" s="90"/>
      <c r="B1036" s="91"/>
      <c r="C1036" s="92"/>
      <c r="D1036" s="93"/>
      <c r="E1036" s="94" t="s">
        <v>11</v>
      </c>
      <c r="F1036" s="94" t="s">
        <v>10</v>
      </c>
      <c r="G1036" s="89"/>
    </row>
    <row r="1037" spans="1:8" ht="15" thickTop="1" x14ac:dyDescent="0.3">
      <c r="A1037" s="95"/>
      <c r="B1037" s="95" t="str">
        <f>LISTA!C53</f>
        <v>Látex p/cielorrasos</v>
      </c>
      <c r="C1037" s="126" t="str">
        <f>LISTA!E53</f>
        <v>Lts</v>
      </c>
      <c r="D1037" s="127">
        <v>0.3</v>
      </c>
      <c r="E1037" s="146">
        <f>LISTA!F53</f>
        <v>4796</v>
      </c>
      <c r="F1037" s="134">
        <f>ROUND(D1037*E1037,2)</f>
        <v>1438.8</v>
      </c>
      <c r="G1037" s="100"/>
    </row>
    <row r="1038" spans="1:8" x14ac:dyDescent="0.3">
      <c r="A1038" s="102"/>
      <c r="B1038" s="102" t="str">
        <f>LISTA!C62</f>
        <v>Sellador 1º Mano</v>
      </c>
      <c r="C1038" s="108" t="str">
        <f>LISTA!E62</f>
        <v>Lts</v>
      </c>
      <c r="D1038" s="109">
        <v>0.1</v>
      </c>
      <c r="E1038" s="147">
        <f>LISTA!F62</f>
        <v>439</v>
      </c>
      <c r="F1038" s="100">
        <f>ROUND(D1038*E1038,2)</f>
        <v>43.9</v>
      </c>
      <c r="G1038" s="100"/>
    </row>
    <row r="1039" spans="1:8" x14ac:dyDescent="0.3">
      <c r="A1039" s="102"/>
      <c r="B1039" s="102" t="str">
        <f>LISTA!$C$45</f>
        <v>Lijas y Accesorios</v>
      </c>
      <c r="C1039" s="108" t="str">
        <f>LISTA!$E$45</f>
        <v>Gl</v>
      </c>
      <c r="D1039" s="109">
        <v>0.2</v>
      </c>
      <c r="E1039" s="147">
        <f>LISTA!$F$45</f>
        <v>45</v>
      </c>
      <c r="F1039" s="100">
        <f>ROUND(D1039*E1039,2)</f>
        <v>9</v>
      </c>
      <c r="G1039" s="100"/>
    </row>
    <row r="1040" spans="1:8" x14ac:dyDescent="0.3">
      <c r="A1040" s="102"/>
      <c r="B1040" s="102"/>
      <c r="C1040" s="108"/>
      <c r="D1040" s="109"/>
      <c r="E1040" s="100"/>
      <c r="F1040" s="100"/>
      <c r="G1040" s="100"/>
    </row>
    <row r="1041" spans="1:8" x14ac:dyDescent="0.3">
      <c r="A1041" s="114"/>
      <c r="B1041" s="114"/>
      <c r="C1041" s="115"/>
      <c r="D1041" s="116" t="s">
        <v>165</v>
      </c>
      <c r="E1041" s="117"/>
      <c r="F1041" s="132"/>
      <c r="G1041" s="113">
        <f>SUM(F1037:F1040)</f>
        <v>1491.7</v>
      </c>
      <c r="H1041" s="91"/>
    </row>
    <row r="1042" spans="1:8" ht="15" thickBot="1" x14ac:dyDescent="0.35">
      <c r="A1042" s="79" t="s">
        <v>166</v>
      </c>
      <c r="C1042" s="80"/>
      <c r="D1042" s="125"/>
      <c r="E1042" s="78"/>
      <c r="F1042" s="78"/>
      <c r="G1042" s="117"/>
    </row>
    <row r="1043" spans="1:8" ht="15" thickTop="1" x14ac:dyDescent="0.3">
      <c r="A1043" s="84" t="s">
        <v>3</v>
      </c>
      <c r="B1043" s="85" t="s">
        <v>135</v>
      </c>
      <c r="C1043" s="86" t="s">
        <v>5</v>
      </c>
      <c r="D1043" s="87" t="s">
        <v>6</v>
      </c>
      <c r="E1043" s="88" t="s">
        <v>28</v>
      </c>
      <c r="F1043" s="88" t="s">
        <v>28</v>
      </c>
      <c r="G1043" s="89"/>
    </row>
    <row r="1044" spans="1:8" ht="15" thickBot="1" x14ac:dyDescent="0.35">
      <c r="A1044" s="90"/>
      <c r="B1044" s="91"/>
      <c r="C1044" s="92"/>
      <c r="D1044" s="93"/>
      <c r="E1044" s="94" t="s">
        <v>11</v>
      </c>
      <c r="F1044" s="94" t="s">
        <v>10</v>
      </c>
      <c r="G1044" s="89"/>
    </row>
    <row r="1045" spans="1:8" ht="15" thickTop="1" x14ac:dyDescent="0.3">
      <c r="A1045" s="95"/>
      <c r="B1045" s="95" t="s">
        <v>167</v>
      </c>
      <c r="C1045" s="126" t="s">
        <v>168</v>
      </c>
      <c r="D1045" s="127">
        <v>0.5</v>
      </c>
      <c r="E1045" s="134">
        <f>$F$22*1.2</f>
        <v>1486.752</v>
      </c>
      <c r="F1045" s="134">
        <f>ROUND(D1045*E1045,2)</f>
        <v>743.38</v>
      </c>
      <c r="G1045" s="100"/>
    </row>
    <row r="1046" spans="1:8" x14ac:dyDescent="0.3">
      <c r="A1046" s="102"/>
      <c r="B1046" s="102" t="s">
        <v>221</v>
      </c>
      <c r="C1046" s="108" t="s">
        <v>168</v>
      </c>
      <c r="D1046" s="109">
        <v>0.4</v>
      </c>
      <c r="E1046" s="100">
        <f>$F$39</f>
        <v>386.38</v>
      </c>
      <c r="F1046" s="100">
        <f>ROUND(D1046*E1046,2)</f>
        <v>154.55000000000001</v>
      </c>
      <c r="G1046" s="100"/>
    </row>
    <row r="1047" spans="1:8" x14ac:dyDescent="0.3">
      <c r="A1047" s="114"/>
      <c r="B1047" s="114"/>
      <c r="C1047" s="115"/>
      <c r="D1047" s="116" t="s">
        <v>170</v>
      </c>
      <c r="E1047" s="117"/>
      <c r="F1047" s="132"/>
      <c r="G1047" s="113">
        <f>SUM(F1045:F1046)</f>
        <v>897.93000000000006</v>
      </c>
      <c r="H1047" s="91"/>
    </row>
    <row r="1048" spans="1:8" ht="15" thickBot="1" x14ac:dyDescent="0.35">
      <c r="C1048" s="80"/>
      <c r="D1048" s="125"/>
      <c r="E1048" s="78"/>
      <c r="F1048" s="78"/>
      <c r="G1048" s="117"/>
    </row>
    <row r="1049" spans="1:8" ht="15.6" thickTop="1" thickBot="1" x14ac:dyDescent="0.35">
      <c r="C1049" s="80"/>
      <c r="D1049" s="125" t="s">
        <v>171</v>
      </c>
      <c r="E1049" s="78"/>
      <c r="F1049" s="78"/>
      <c r="G1049" s="135">
        <f>SUM(G1041:G1047)</f>
        <v>2389.63</v>
      </c>
      <c r="H1049" s="136"/>
    </row>
    <row r="1050" spans="1:8" ht="15" thickTop="1" x14ac:dyDescent="0.3">
      <c r="C1050" s="80"/>
      <c r="D1050" s="125"/>
      <c r="E1050" s="78"/>
      <c r="F1050" s="78"/>
      <c r="G1050" s="137"/>
    </row>
    <row r="1051" spans="1:8" ht="15.6" x14ac:dyDescent="0.3">
      <c r="A1051" s="79" t="s">
        <v>128</v>
      </c>
      <c r="B1051" s="81" t="s">
        <v>240</v>
      </c>
      <c r="C1051" s="80"/>
      <c r="D1051" s="125"/>
      <c r="E1051" s="78"/>
      <c r="F1051" s="78"/>
      <c r="G1051" s="78"/>
    </row>
    <row r="1052" spans="1:8" ht="15.6" x14ac:dyDescent="0.3">
      <c r="A1052" s="79" t="s">
        <v>130</v>
      </c>
      <c r="B1052" s="81" t="s">
        <v>202</v>
      </c>
      <c r="C1052" s="80"/>
      <c r="D1052" s="125"/>
      <c r="E1052" s="78"/>
      <c r="F1052" s="78"/>
      <c r="G1052" s="78"/>
    </row>
    <row r="1053" spans="1:8" x14ac:dyDescent="0.3">
      <c r="C1053" s="80"/>
      <c r="D1053" s="125"/>
      <c r="E1053" s="78"/>
      <c r="F1053" s="78"/>
      <c r="G1053" s="78"/>
    </row>
    <row r="1054" spans="1:8" ht="15" thickBot="1" x14ac:dyDescent="0.35">
      <c r="A1054" s="79" t="s">
        <v>161</v>
      </c>
      <c r="C1054" s="80"/>
      <c r="D1054" s="125"/>
      <c r="E1054" s="78"/>
      <c r="F1054" s="78"/>
      <c r="G1054" s="78"/>
    </row>
    <row r="1055" spans="1:8" ht="15" thickTop="1" x14ac:dyDescent="0.3">
      <c r="A1055" s="84" t="s">
        <v>3</v>
      </c>
      <c r="B1055" s="85" t="s">
        <v>135</v>
      </c>
      <c r="C1055" s="86" t="s">
        <v>5</v>
      </c>
      <c r="D1055" s="87" t="s">
        <v>6</v>
      </c>
      <c r="E1055" s="88" t="s">
        <v>28</v>
      </c>
      <c r="F1055" s="88" t="s">
        <v>28</v>
      </c>
      <c r="G1055" s="89"/>
    </row>
    <row r="1056" spans="1:8" ht="15" thickBot="1" x14ac:dyDescent="0.35">
      <c r="A1056" s="90"/>
      <c r="B1056" s="91"/>
      <c r="C1056" s="92"/>
      <c r="D1056" s="93"/>
      <c r="E1056" s="94" t="s">
        <v>11</v>
      </c>
      <c r="F1056" s="94" t="s">
        <v>10</v>
      </c>
      <c r="G1056" s="89"/>
    </row>
    <row r="1057" spans="1:8" ht="15" thickTop="1" x14ac:dyDescent="0.3">
      <c r="A1057" s="95"/>
      <c r="B1057" s="95" t="str">
        <f>LISTA!C51</f>
        <v>Látex p/interiores</v>
      </c>
      <c r="C1057" s="126" t="str">
        <f>LISTA!E51</f>
        <v>Lts</v>
      </c>
      <c r="D1057" s="127">
        <v>0.3</v>
      </c>
      <c r="E1057" s="146">
        <f>LISTA!F51</f>
        <v>3120</v>
      </c>
      <c r="F1057" s="134">
        <f>ROUND(D1057*E1057,2)</f>
        <v>936</v>
      </c>
      <c r="G1057" s="100"/>
    </row>
    <row r="1058" spans="1:8" x14ac:dyDescent="0.3">
      <c r="A1058" s="102"/>
      <c r="B1058" s="102" t="str">
        <f>LISTA!C62</f>
        <v>Sellador 1º Mano</v>
      </c>
      <c r="C1058" s="108" t="str">
        <f>LISTA!E62</f>
        <v>Lts</v>
      </c>
      <c r="D1058" s="109">
        <v>0.1</v>
      </c>
      <c r="E1058" s="147">
        <f>LISTA!F62</f>
        <v>439</v>
      </c>
      <c r="F1058" s="100">
        <f>ROUND(D1058*E1058,2)</f>
        <v>43.9</v>
      </c>
      <c r="G1058" s="100"/>
    </row>
    <row r="1059" spans="1:8" x14ac:dyDescent="0.3">
      <c r="A1059" s="102"/>
      <c r="B1059" s="102" t="str">
        <f>LISTA!$C$45</f>
        <v>Lijas y Accesorios</v>
      </c>
      <c r="C1059" s="108" t="str">
        <f>LISTA!$E$45</f>
        <v>Gl</v>
      </c>
      <c r="D1059" s="109">
        <v>0.25</v>
      </c>
      <c r="E1059" s="147">
        <f>LISTA!$F$45</f>
        <v>45</v>
      </c>
      <c r="F1059" s="100">
        <f>ROUND(D1059*E1059,2)</f>
        <v>11.25</v>
      </c>
      <c r="G1059" s="100"/>
    </row>
    <row r="1060" spans="1:8" x14ac:dyDescent="0.3">
      <c r="A1060" s="102"/>
      <c r="B1060" s="102" t="str">
        <f>LISTA!$C$46</f>
        <v>Entonador x 120 cc</v>
      </c>
      <c r="C1060" s="108" t="str">
        <f>LISTA!$E$46</f>
        <v>Un</v>
      </c>
      <c r="D1060" s="109">
        <v>0.25</v>
      </c>
      <c r="E1060" s="147">
        <f>LISTA!$F$46</f>
        <v>175</v>
      </c>
      <c r="F1060" s="100">
        <f>ROUND(D1060*E1060,2)</f>
        <v>43.75</v>
      </c>
      <c r="G1060" s="100"/>
    </row>
    <row r="1061" spans="1:8" x14ac:dyDescent="0.3">
      <c r="A1061" s="114"/>
      <c r="B1061" s="114"/>
      <c r="C1061" s="115"/>
      <c r="D1061" s="116" t="s">
        <v>165</v>
      </c>
      <c r="E1061" s="117"/>
      <c r="F1061" s="132"/>
      <c r="G1061" s="113">
        <f>SUM(F1057:F1060)</f>
        <v>1034.9000000000001</v>
      </c>
      <c r="H1061" s="91"/>
    </row>
    <row r="1062" spans="1:8" ht="15" thickBot="1" x14ac:dyDescent="0.35">
      <c r="A1062" s="79" t="s">
        <v>166</v>
      </c>
      <c r="C1062" s="80"/>
      <c r="D1062" s="125"/>
      <c r="E1062" s="78"/>
      <c r="F1062" s="78"/>
      <c r="G1062" s="117"/>
    </row>
    <row r="1063" spans="1:8" ht="15" thickTop="1" x14ac:dyDescent="0.3">
      <c r="A1063" s="84" t="s">
        <v>3</v>
      </c>
      <c r="B1063" s="85" t="s">
        <v>135</v>
      </c>
      <c r="C1063" s="86" t="s">
        <v>5</v>
      </c>
      <c r="D1063" s="87" t="s">
        <v>6</v>
      </c>
      <c r="E1063" s="88" t="s">
        <v>28</v>
      </c>
      <c r="F1063" s="88" t="s">
        <v>28</v>
      </c>
      <c r="G1063" s="89"/>
    </row>
    <row r="1064" spans="1:8" ht="15" thickBot="1" x14ac:dyDescent="0.35">
      <c r="A1064" s="90"/>
      <c r="B1064" s="91"/>
      <c r="C1064" s="92"/>
      <c r="D1064" s="93"/>
      <c r="E1064" s="94" t="s">
        <v>11</v>
      </c>
      <c r="F1064" s="94" t="s">
        <v>10</v>
      </c>
      <c r="G1064" s="89"/>
    </row>
    <row r="1065" spans="1:8" ht="15" thickTop="1" x14ac:dyDescent="0.3">
      <c r="A1065" s="95"/>
      <c r="B1065" s="95" t="s">
        <v>167</v>
      </c>
      <c r="C1065" s="126" t="s">
        <v>168</v>
      </c>
      <c r="D1065" s="127">
        <v>0.5</v>
      </c>
      <c r="E1065" s="134">
        <f>$F$22*1.2</f>
        <v>1486.752</v>
      </c>
      <c r="F1065" s="134">
        <f>ROUND(D1065*E1065,2)</f>
        <v>743.38</v>
      </c>
      <c r="G1065" s="100"/>
    </row>
    <row r="1066" spans="1:8" x14ac:dyDescent="0.3">
      <c r="A1066" s="102"/>
      <c r="B1066" s="102" t="s">
        <v>221</v>
      </c>
      <c r="C1066" s="108" t="s">
        <v>168</v>
      </c>
      <c r="D1066" s="109">
        <v>0.35</v>
      </c>
      <c r="E1066" s="100">
        <f>$F$39</f>
        <v>386.38</v>
      </c>
      <c r="F1066" s="100">
        <f>ROUND(D1066*E1066,2)</f>
        <v>135.22999999999999</v>
      </c>
      <c r="G1066" s="100"/>
    </row>
    <row r="1067" spans="1:8" x14ac:dyDescent="0.3">
      <c r="A1067" s="114"/>
      <c r="B1067" s="114"/>
      <c r="C1067" s="115"/>
      <c r="D1067" s="116" t="s">
        <v>170</v>
      </c>
      <c r="E1067" s="117"/>
      <c r="F1067" s="132"/>
      <c r="G1067" s="113">
        <f>SUM(F1065:F1066)</f>
        <v>878.61</v>
      </c>
      <c r="H1067" s="91"/>
    </row>
    <row r="1068" spans="1:8" ht="15" thickBot="1" x14ac:dyDescent="0.35">
      <c r="C1068" s="80"/>
      <c r="D1068" s="125"/>
      <c r="E1068" s="78"/>
      <c r="F1068" s="78"/>
      <c r="G1068" s="117"/>
    </row>
    <row r="1069" spans="1:8" ht="15.6" thickTop="1" thickBot="1" x14ac:dyDescent="0.35">
      <c r="C1069" s="80"/>
      <c r="D1069" s="125" t="s">
        <v>171</v>
      </c>
      <c r="E1069" s="78"/>
      <c r="F1069" s="78"/>
      <c r="G1069" s="135">
        <f>SUM(G1061:G1067)</f>
        <v>1913.5100000000002</v>
      </c>
      <c r="H1069" s="136"/>
    </row>
    <row r="1070" spans="1:8" ht="15" thickTop="1" x14ac:dyDescent="0.3">
      <c r="C1070" s="80"/>
      <c r="D1070" s="125"/>
      <c r="E1070" s="78"/>
      <c r="F1070" s="78"/>
      <c r="G1070" s="137"/>
    </row>
    <row r="1071" spans="1:8" ht="15.6" x14ac:dyDescent="0.3">
      <c r="A1071" s="79" t="s">
        <v>128</v>
      </c>
      <c r="B1071" s="81" t="s">
        <v>241</v>
      </c>
      <c r="C1071" s="80"/>
      <c r="D1071" s="125"/>
      <c r="E1071" s="78"/>
      <c r="F1071" s="78"/>
      <c r="G1071" s="78"/>
    </row>
    <row r="1072" spans="1:8" ht="15.6" x14ac:dyDescent="0.3">
      <c r="A1072" s="79" t="s">
        <v>130</v>
      </c>
      <c r="B1072" s="81" t="s">
        <v>202</v>
      </c>
      <c r="C1072" s="80"/>
      <c r="D1072" s="125"/>
      <c r="E1072" s="78"/>
      <c r="F1072" s="78"/>
      <c r="G1072" s="78"/>
    </row>
    <row r="1073" spans="1:8" x14ac:dyDescent="0.3">
      <c r="C1073" s="80"/>
      <c r="D1073" s="125"/>
      <c r="E1073" s="78"/>
      <c r="F1073" s="78"/>
      <c r="G1073" s="78"/>
    </row>
    <row r="1074" spans="1:8" ht="15" thickBot="1" x14ac:dyDescent="0.35">
      <c r="A1074" s="79" t="s">
        <v>161</v>
      </c>
      <c r="C1074" s="80"/>
      <c r="D1074" s="125"/>
      <c r="E1074" s="78"/>
      <c r="F1074" s="78"/>
      <c r="G1074" s="78"/>
    </row>
    <row r="1075" spans="1:8" ht="15" thickTop="1" x14ac:dyDescent="0.3">
      <c r="A1075" s="84" t="s">
        <v>3</v>
      </c>
      <c r="B1075" s="85" t="s">
        <v>135</v>
      </c>
      <c r="C1075" s="86" t="s">
        <v>5</v>
      </c>
      <c r="D1075" s="87" t="s">
        <v>6</v>
      </c>
      <c r="E1075" s="88" t="s">
        <v>28</v>
      </c>
      <c r="F1075" s="88" t="s">
        <v>28</v>
      </c>
      <c r="G1075" s="89"/>
    </row>
    <row r="1076" spans="1:8" ht="15" thickBot="1" x14ac:dyDescent="0.35">
      <c r="A1076" s="90"/>
      <c r="B1076" s="91"/>
      <c r="C1076" s="92"/>
      <c r="D1076" s="93"/>
      <c r="E1076" s="94" t="s">
        <v>11</v>
      </c>
      <c r="F1076" s="94" t="s">
        <v>10</v>
      </c>
      <c r="G1076" s="89"/>
    </row>
    <row r="1077" spans="1:8" ht="15" thickTop="1" x14ac:dyDescent="0.3">
      <c r="A1077" s="95"/>
      <c r="B1077" s="95" t="str">
        <f>LISTA!C52</f>
        <v>Látex p/exteriores</v>
      </c>
      <c r="C1077" s="126" t="str">
        <f>LISTA!E52</f>
        <v>Lts</v>
      </c>
      <c r="D1077" s="127">
        <v>0.3</v>
      </c>
      <c r="E1077" s="146">
        <f>LISTA!F52</f>
        <v>4690</v>
      </c>
      <c r="F1077" s="134">
        <f>ROUND(D1077*E1077,2)</f>
        <v>1407</v>
      </c>
      <c r="G1077" s="100"/>
    </row>
    <row r="1078" spans="1:8" x14ac:dyDescent="0.3">
      <c r="A1078" s="102"/>
      <c r="B1078" s="102" t="str">
        <f>LISTA!C62</f>
        <v>Sellador 1º Mano</v>
      </c>
      <c r="C1078" s="108" t="str">
        <f>LISTA!E62</f>
        <v>Lts</v>
      </c>
      <c r="D1078" s="109">
        <v>0.1</v>
      </c>
      <c r="E1078" s="147">
        <f>LISTA!F62</f>
        <v>439</v>
      </c>
      <c r="F1078" s="100">
        <f>ROUND(D1078*E1078,2)</f>
        <v>43.9</v>
      </c>
      <c r="G1078" s="100"/>
    </row>
    <row r="1079" spans="1:8" x14ac:dyDescent="0.3">
      <c r="A1079" s="102"/>
      <c r="B1079" s="102" t="str">
        <f>LISTA!$C$45</f>
        <v>Lijas y Accesorios</v>
      </c>
      <c r="C1079" s="108" t="str">
        <f>LISTA!$E$45</f>
        <v>Gl</v>
      </c>
      <c r="D1079" s="109">
        <v>0.25</v>
      </c>
      <c r="E1079" s="147">
        <f>LISTA!$F$45</f>
        <v>45</v>
      </c>
      <c r="F1079" s="100">
        <f>ROUND(D1079*E1079,2)</f>
        <v>11.25</v>
      </c>
      <c r="G1079" s="100"/>
    </row>
    <row r="1080" spans="1:8" x14ac:dyDescent="0.3">
      <c r="A1080" s="102"/>
      <c r="B1080" s="102" t="str">
        <f>LISTA!$C$46</f>
        <v>Entonador x 120 cc</v>
      </c>
      <c r="C1080" s="108" t="str">
        <f>LISTA!$E$46</f>
        <v>Un</v>
      </c>
      <c r="D1080" s="109">
        <v>0.3</v>
      </c>
      <c r="E1080" s="147">
        <f>LISTA!$F$46</f>
        <v>175</v>
      </c>
      <c r="F1080" s="100">
        <f>ROUND(D1080*E1080,2)</f>
        <v>52.5</v>
      </c>
      <c r="G1080" s="100"/>
    </row>
    <row r="1081" spans="1:8" x14ac:dyDescent="0.3">
      <c r="A1081" s="114"/>
      <c r="B1081" s="114"/>
      <c r="C1081" s="115"/>
      <c r="D1081" s="116" t="s">
        <v>165</v>
      </c>
      <c r="E1081" s="117"/>
      <c r="F1081" s="132"/>
      <c r="G1081" s="113">
        <f>SUM(F1077:F1080)</f>
        <v>1514.65</v>
      </c>
      <c r="H1081" s="91"/>
    </row>
    <row r="1082" spans="1:8" ht="15" thickBot="1" x14ac:dyDescent="0.35">
      <c r="A1082" s="79" t="s">
        <v>166</v>
      </c>
      <c r="C1082" s="80"/>
      <c r="D1082" s="125"/>
      <c r="E1082" s="78"/>
      <c r="F1082" s="78"/>
      <c r="G1082" s="117"/>
    </row>
    <row r="1083" spans="1:8" ht="15" thickTop="1" x14ac:dyDescent="0.3">
      <c r="A1083" s="84" t="s">
        <v>3</v>
      </c>
      <c r="B1083" s="85" t="s">
        <v>135</v>
      </c>
      <c r="C1083" s="86" t="s">
        <v>5</v>
      </c>
      <c r="D1083" s="87" t="s">
        <v>6</v>
      </c>
      <c r="E1083" s="88" t="s">
        <v>28</v>
      </c>
      <c r="F1083" s="88" t="s">
        <v>28</v>
      </c>
      <c r="G1083" s="89"/>
    </row>
    <row r="1084" spans="1:8" ht="15" thickBot="1" x14ac:dyDescent="0.35">
      <c r="A1084" s="90"/>
      <c r="B1084" s="91"/>
      <c r="C1084" s="92"/>
      <c r="D1084" s="93"/>
      <c r="E1084" s="94" t="s">
        <v>11</v>
      </c>
      <c r="F1084" s="94" t="s">
        <v>10</v>
      </c>
      <c r="G1084" s="89"/>
    </row>
    <row r="1085" spans="1:8" ht="15" thickTop="1" x14ac:dyDescent="0.3">
      <c r="A1085" s="95"/>
      <c r="B1085" s="95" t="s">
        <v>167</v>
      </c>
      <c r="C1085" s="126" t="s">
        <v>168</v>
      </c>
      <c r="D1085" s="127">
        <v>0.6</v>
      </c>
      <c r="E1085" s="134">
        <f>$F$22*1.2</f>
        <v>1486.752</v>
      </c>
      <c r="F1085" s="134">
        <f>ROUND(D1085*E1085,2)</f>
        <v>892.05</v>
      </c>
      <c r="G1085" s="100"/>
    </row>
    <row r="1086" spans="1:8" x14ac:dyDescent="0.3">
      <c r="A1086" s="102"/>
      <c r="B1086" s="102" t="s">
        <v>221</v>
      </c>
      <c r="C1086" s="108" t="s">
        <v>168</v>
      </c>
      <c r="D1086" s="109">
        <v>0.4</v>
      </c>
      <c r="E1086" s="100">
        <f>$F$39</f>
        <v>386.38</v>
      </c>
      <c r="F1086" s="100">
        <f>ROUND(D1086*E1086,2)</f>
        <v>154.55000000000001</v>
      </c>
      <c r="G1086" s="100"/>
    </row>
    <row r="1087" spans="1:8" x14ac:dyDescent="0.3">
      <c r="A1087" s="114"/>
      <c r="B1087" s="114"/>
      <c r="C1087" s="115"/>
      <c r="D1087" s="116" t="s">
        <v>170</v>
      </c>
      <c r="E1087" s="117"/>
      <c r="F1087" s="132"/>
      <c r="G1087" s="113">
        <f>SUM(F1085:F1086)</f>
        <v>1046.5999999999999</v>
      </c>
      <c r="H1087" s="91"/>
    </row>
    <row r="1088" spans="1:8" ht="15" thickBot="1" x14ac:dyDescent="0.35">
      <c r="C1088" s="80"/>
      <c r="D1088" s="125"/>
      <c r="E1088" s="78"/>
      <c r="F1088" s="78"/>
      <c r="G1088" s="117"/>
    </row>
    <row r="1089" spans="1:8" ht="15.6" thickTop="1" thickBot="1" x14ac:dyDescent="0.35">
      <c r="C1089" s="80"/>
      <c r="D1089" s="125" t="s">
        <v>171</v>
      </c>
      <c r="E1089" s="78"/>
      <c r="F1089" s="78"/>
      <c r="G1089" s="135">
        <f>SUM(G1081:G1087)</f>
        <v>2561.25</v>
      </c>
      <c r="H1089" s="136"/>
    </row>
    <row r="1090" spans="1:8" ht="15" thickTop="1" x14ac:dyDescent="0.3">
      <c r="C1090" s="80"/>
      <c r="D1090" s="125"/>
      <c r="E1090" s="78"/>
      <c r="F1090" s="78"/>
      <c r="G1090" s="137"/>
    </row>
    <row r="1091" spans="1:8" ht="15.6" x14ac:dyDescent="0.3">
      <c r="A1091" s="79" t="s">
        <v>128</v>
      </c>
      <c r="B1091" s="81" t="s">
        <v>242</v>
      </c>
      <c r="C1091" s="80"/>
      <c r="D1091" s="125"/>
      <c r="E1091" s="78"/>
      <c r="F1091" s="78"/>
      <c r="G1091" s="78"/>
    </row>
    <row r="1092" spans="1:8" ht="15.6" x14ac:dyDescent="0.3">
      <c r="A1092" s="79" t="s">
        <v>130</v>
      </c>
      <c r="B1092" s="81" t="s">
        <v>202</v>
      </c>
      <c r="C1092" s="80"/>
      <c r="D1092" s="125"/>
      <c r="E1092" s="78"/>
      <c r="F1092" s="78"/>
      <c r="G1092" s="78"/>
    </row>
    <row r="1093" spans="1:8" x14ac:dyDescent="0.3">
      <c r="C1093" s="80"/>
      <c r="D1093" s="125"/>
      <c r="E1093" s="78"/>
      <c r="F1093" s="78"/>
      <c r="G1093" s="78"/>
    </row>
    <row r="1094" spans="1:8" ht="15" thickBot="1" x14ac:dyDescent="0.35">
      <c r="A1094" s="79" t="s">
        <v>161</v>
      </c>
      <c r="C1094" s="80"/>
      <c r="D1094" s="125"/>
      <c r="E1094" s="78"/>
      <c r="F1094" s="78"/>
      <c r="G1094" s="78"/>
    </row>
    <row r="1095" spans="1:8" ht="15" thickTop="1" x14ac:dyDescent="0.3">
      <c r="A1095" s="84" t="s">
        <v>3</v>
      </c>
      <c r="B1095" s="85" t="s">
        <v>135</v>
      </c>
      <c r="C1095" s="86" t="s">
        <v>5</v>
      </c>
      <c r="D1095" s="87" t="s">
        <v>6</v>
      </c>
      <c r="E1095" s="88" t="s">
        <v>28</v>
      </c>
      <c r="F1095" s="88" t="s">
        <v>28</v>
      </c>
      <c r="G1095" s="89"/>
    </row>
    <row r="1096" spans="1:8" ht="15" thickBot="1" x14ac:dyDescent="0.35">
      <c r="A1096" s="90"/>
      <c r="B1096" s="91"/>
      <c r="C1096" s="92"/>
      <c r="D1096" s="93"/>
      <c r="E1096" s="94" t="s">
        <v>11</v>
      </c>
      <c r="F1096" s="94" t="s">
        <v>10</v>
      </c>
      <c r="G1096" s="89"/>
    </row>
    <row r="1097" spans="1:8" ht="15" thickTop="1" x14ac:dyDescent="0.3">
      <c r="A1097" s="95"/>
      <c r="B1097" s="95" t="str">
        <f>LISTA!C50</f>
        <v>Pintura siliconada p/muros ext</v>
      </c>
      <c r="C1097" s="126" t="str">
        <f>LISTA!E50</f>
        <v>Lts</v>
      </c>
      <c r="D1097" s="127">
        <v>0.3</v>
      </c>
      <c r="E1097" s="128">
        <f>LISTA!F50</f>
        <v>2225</v>
      </c>
      <c r="F1097" s="134">
        <f>ROUND(D1097*E1097,2)</f>
        <v>667.5</v>
      </c>
      <c r="G1097" s="100"/>
    </row>
    <row r="1098" spans="1:8" x14ac:dyDescent="0.3">
      <c r="A1098" s="102"/>
      <c r="B1098" s="102" t="str">
        <f>LISTA!C62</f>
        <v>Sellador 1º Mano</v>
      </c>
      <c r="C1098" s="108" t="str">
        <f>LISTA!E62</f>
        <v>Lts</v>
      </c>
      <c r="D1098" s="109">
        <v>0.1</v>
      </c>
      <c r="E1098" s="100">
        <f>LISTA!F62</f>
        <v>439</v>
      </c>
      <c r="F1098" s="100">
        <f>ROUND(D1098*E1098,2)</f>
        <v>43.9</v>
      </c>
      <c r="G1098" s="100"/>
    </row>
    <row r="1099" spans="1:8" x14ac:dyDescent="0.3">
      <c r="A1099" s="102"/>
      <c r="B1099" s="102" t="str">
        <f>LISTA!C63</f>
        <v>Acido muriático</v>
      </c>
      <c r="C1099" s="108" t="str">
        <f>LISTA!E63</f>
        <v>Lts</v>
      </c>
      <c r="D1099" s="109">
        <v>0.1</v>
      </c>
      <c r="E1099" s="100">
        <f>LISTA!F63</f>
        <v>6990</v>
      </c>
      <c r="F1099" s="100">
        <f>ROUND(D1099*E1099,2)</f>
        <v>699</v>
      </c>
      <c r="G1099" s="100"/>
    </row>
    <row r="1100" spans="1:8" x14ac:dyDescent="0.3">
      <c r="A1100" s="102"/>
      <c r="B1100" s="102" t="str">
        <f>LISTA!$C$45</f>
        <v>Lijas y Accesorios</v>
      </c>
      <c r="C1100" s="108" t="str">
        <f>LISTA!$E$45</f>
        <v>Gl</v>
      </c>
      <c r="D1100" s="109">
        <v>0.2</v>
      </c>
      <c r="E1100" s="130">
        <f>LISTA!$F$45</f>
        <v>45</v>
      </c>
      <c r="F1100" s="100">
        <f>ROUND(D1100*E1100,2)</f>
        <v>9</v>
      </c>
      <c r="G1100" s="100"/>
    </row>
    <row r="1101" spans="1:8" x14ac:dyDescent="0.3">
      <c r="A1101" s="102"/>
      <c r="B1101" s="102"/>
      <c r="C1101" s="108"/>
      <c r="D1101" s="109"/>
      <c r="E1101" s="100"/>
      <c r="F1101" s="100"/>
      <c r="G1101" s="100"/>
    </row>
    <row r="1102" spans="1:8" x14ac:dyDescent="0.3">
      <c r="A1102" s="114"/>
      <c r="B1102" s="114"/>
      <c r="C1102" s="115"/>
      <c r="D1102" s="116" t="s">
        <v>165</v>
      </c>
      <c r="E1102" s="117"/>
      <c r="F1102" s="132"/>
      <c r="G1102" s="113">
        <f>SUM(F1097:F1101)</f>
        <v>1419.4</v>
      </c>
      <c r="H1102" s="91"/>
    </row>
    <row r="1103" spans="1:8" ht="15" thickBot="1" x14ac:dyDescent="0.35">
      <c r="A1103" s="79" t="s">
        <v>166</v>
      </c>
      <c r="C1103" s="80"/>
      <c r="D1103" s="125"/>
      <c r="E1103" s="78"/>
      <c r="F1103" s="78"/>
      <c r="G1103" s="117"/>
    </row>
    <row r="1104" spans="1:8" ht="15" thickTop="1" x14ac:dyDescent="0.3">
      <c r="A1104" s="84" t="s">
        <v>3</v>
      </c>
      <c r="B1104" s="85" t="s">
        <v>135</v>
      </c>
      <c r="C1104" s="86" t="s">
        <v>5</v>
      </c>
      <c r="D1104" s="87" t="s">
        <v>6</v>
      </c>
      <c r="E1104" s="88" t="s">
        <v>28</v>
      </c>
      <c r="F1104" s="88" t="s">
        <v>28</v>
      </c>
      <c r="G1104" s="89"/>
    </row>
    <row r="1105" spans="1:8" ht="15" thickBot="1" x14ac:dyDescent="0.35">
      <c r="A1105" s="90"/>
      <c r="B1105" s="91"/>
      <c r="C1105" s="92"/>
      <c r="D1105" s="93"/>
      <c r="E1105" s="94" t="s">
        <v>11</v>
      </c>
      <c r="F1105" s="94" t="s">
        <v>10</v>
      </c>
      <c r="G1105" s="89"/>
    </row>
    <row r="1106" spans="1:8" ht="15" thickTop="1" x14ac:dyDescent="0.3">
      <c r="A1106" s="95"/>
      <c r="B1106" s="95" t="s">
        <v>167</v>
      </c>
      <c r="C1106" s="126" t="s">
        <v>168</v>
      </c>
      <c r="D1106" s="127">
        <v>0.6</v>
      </c>
      <c r="E1106" s="134">
        <f>$F$22*1.2</f>
        <v>1486.752</v>
      </c>
      <c r="F1106" s="134">
        <f>ROUND(D1106*E1106,2)</f>
        <v>892.05</v>
      </c>
      <c r="G1106" s="100"/>
    </row>
    <row r="1107" spans="1:8" x14ac:dyDescent="0.3">
      <c r="A1107" s="102"/>
      <c r="B1107" s="102" t="s">
        <v>221</v>
      </c>
      <c r="C1107" s="108" t="s">
        <v>168</v>
      </c>
      <c r="D1107" s="109">
        <v>0.4</v>
      </c>
      <c r="E1107" s="100">
        <f>$F$39</f>
        <v>386.38</v>
      </c>
      <c r="F1107" s="100">
        <f>ROUND(D1107*E1107,2)</f>
        <v>154.55000000000001</v>
      </c>
      <c r="G1107" s="100"/>
    </row>
    <row r="1108" spans="1:8" x14ac:dyDescent="0.3">
      <c r="A1108" s="114"/>
      <c r="B1108" s="114"/>
      <c r="C1108" s="115"/>
      <c r="D1108" s="116" t="s">
        <v>170</v>
      </c>
      <c r="E1108" s="117"/>
      <c r="F1108" s="132"/>
      <c r="G1108" s="113">
        <f>SUM(F1106:F1107)</f>
        <v>1046.5999999999999</v>
      </c>
      <c r="H1108" s="91"/>
    </row>
    <row r="1109" spans="1:8" ht="15" thickBot="1" x14ac:dyDescent="0.35">
      <c r="C1109" s="80"/>
      <c r="D1109" s="125"/>
      <c r="E1109" s="78"/>
      <c r="F1109" s="78"/>
      <c r="G1109" s="117"/>
    </row>
    <row r="1110" spans="1:8" ht="15.6" thickTop="1" thickBot="1" x14ac:dyDescent="0.35">
      <c r="C1110" s="80"/>
      <c r="D1110" s="125" t="s">
        <v>171</v>
      </c>
      <c r="E1110" s="78"/>
      <c r="F1110" s="78"/>
      <c r="G1110" s="135">
        <f>SUM(G1102:G1108)</f>
        <v>2466</v>
      </c>
      <c r="H1110" s="136"/>
    </row>
    <row r="1111" spans="1:8" ht="15" thickTop="1" x14ac:dyDescent="0.3">
      <c r="C1111" s="80"/>
      <c r="D1111" s="125"/>
      <c r="E1111" s="78"/>
      <c r="F1111" s="78"/>
      <c r="G1111" s="137"/>
    </row>
    <row r="1112" spans="1:8" ht="15.6" x14ac:dyDescent="0.3">
      <c r="A1112" s="79" t="s">
        <v>128</v>
      </c>
      <c r="B1112" s="81" t="s">
        <v>243</v>
      </c>
      <c r="C1112" s="80"/>
      <c r="D1112" s="125"/>
      <c r="E1112" s="78"/>
      <c r="F1112" s="78"/>
      <c r="G1112" s="78"/>
    </row>
    <row r="1113" spans="1:8" ht="15.6" x14ac:dyDescent="0.3">
      <c r="A1113" s="79" t="s">
        <v>130</v>
      </c>
      <c r="B1113" s="81" t="s">
        <v>202</v>
      </c>
    </row>
    <row r="1115" spans="1:8" ht="15" thickBot="1" x14ac:dyDescent="0.35">
      <c r="A1115" s="79" t="s">
        <v>161</v>
      </c>
      <c r="C1115" s="80"/>
      <c r="D1115" s="125"/>
      <c r="E1115" s="78"/>
      <c r="F1115" s="78"/>
      <c r="G1115" s="78"/>
    </row>
    <row r="1116" spans="1:8" ht="15" thickTop="1" x14ac:dyDescent="0.3">
      <c r="A1116" s="84" t="s">
        <v>3</v>
      </c>
      <c r="B1116" s="85" t="s">
        <v>135</v>
      </c>
      <c r="C1116" s="86" t="s">
        <v>5</v>
      </c>
      <c r="D1116" s="87" t="s">
        <v>6</v>
      </c>
      <c r="E1116" s="88" t="s">
        <v>28</v>
      </c>
      <c r="F1116" s="88" t="s">
        <v>28</v>
      </c>
      <c r="G1116" s="89"/>
    </row>
    <row r="1117" spans="1:8" ht="15" thickBot="1" x14ac:dyDescent="0.35">
      <c r="A1117" s="90"/>
      <c r="B1117" s="91"/>
      <c r="C1117" s="92"/>
      <c r="D1117" s="93"/>
      <c r="E1117" s="94" t="s">
        <v>11</v>
      </c>
      <c r="F1117" s="94" t="s">
        <v>10</v>
      </c>
      <c r="G1117" s="89"/>
    </row>
    <row r="1118" spans="1:8" ht="15" thickTop="1" x14ac:dyDescent="0.3">
      <c r="A1118" s="95"/>
      <c r="B1118" s="95" t="str">
        <f>LISTA!$C$48</f>
        <v>Pintura T/Cetol o sim.</v>
      </c>
      <c r="C1118" s="126" t="str">
        <f>LISTA!$E$48</f>
        <v>Lts</v>
      </c>
      <c r="D1118" s="127">
        <v>0.2</v>
      </c>
      <c r="E1118" s="134">
        <f>LISTA!$F$48</f>
        <v>2956</v>
      </c>
      <c r="F1118" s="134">
        <f>ROUND(D1118*E1118,2)</f>
        <v>591.20000000000005</v>
      </c>
      <c r="G1118" s="100"/>
    </row>
    <row r="1119" spans="1:8" x14ac:dyDescent="0.3">
      <c r="A1119" s="102"/>
      <c r="B1119" s="102" t="str">
        <f>LISTA!C$45</f>
        <v>Lijas y Accesorios</v>
      </c>
      <c r="C1119" s="108" t="str">
        <f>LISTA!E$45</f>
        <v>Gl</v>
      </c>
      <c r="D1119" s="109">
        <v>0.15</v>
      </c>
      <c r="E1119" s="130">
        <f>LISTA!F$45</f>
        <v>45</v>
      </c>
      <c r="F1119" s="100">
        <f>ROUND(D1119*E1119,2)</f>
        <v>6.75</v>
      </c>
      <c r="G1119" s="100"/>
    </row>
    <row r="1120" spans="1:8" x14ac:dyDescent="0.3">
      <c r="A1120" s="114"/>
      <c r="B1120" s="114"/>
      <c r="C1120" s="115"/>
      <c r="D1120" s="116" t="s">
        <v>165</v>
      </c>
      <c r="E1120" s="117"/>
      <c r="F1120" s="132"/>
      <c r="G1120" s="113">
        <f>SUM(F1118:F1119)</f>
        <v>597.95000000000005</v>
      </c>
      <c r="H1120" s="91"/>
    </row>
    <row r="1121" spans="1:8" ht="15" thickBot="1" x14ac:dyDescent="0.35">
      <c r="A1121" s="79" t="s">
        <v>166</v>
      </c>
      <c r="C1121" s="80"/>
      <c r="D1121" s="125"/>
      <c r="E1121" s="78"/>
      <c r="F1121" s="78"/>
      <c r="G1121" s="117"/>
    </row>
    <row r="1122" spans="1:8" ht="15" thickTop="1" x14ac:dyDescent="0.3">
      <c r="A1122" s="84" t="s">
        <v>3</v>
      </c>
      <c r="B1122" s="85" t="s">
        <v>135</v>
      </c>
      <c r="C1122" s="86" t="s">
        <v>5</v>
      </c>
      <c r="D1122" s="87" t="s">
        <v>6</v>
      </c>
      <c r="E1122" s="88" t="s">
        <v>28</v>
      </c>
      <c r="F1122" s="88" t="s">
        <v>28</v>
      </c>
      <c r="G1122" s="89"/>
    </row>
    <row r="1123" spans="1:8" ht="15" thickBot="1" x14ac:dyDescent="0.35">
      <c r="A1123" s="90"/>
      <c r="B1123" s="91"/>
      <c r="C1123" s="92"/>
      <c r="D1123" s="93"/>
      <c r="E1123" s="94" t="s">
        <v>11</v>
      </c>
      <c r="F1123" s="94" t="s">
        <v>10</v>
      </c>
      <c r="G1123" s="89"/>
    </row>
    <row r="1124" spans="1:8" ht="15" thickTop="1" x14ac:dyDescent="0.3">
      <c r="A1124" s="95"/>
      <c r="B1124" s="95" t="s">
        <v>167</v>
      </c>
      <c r="C1124" s="126" t="s">
        <v>168</v>
      </c>
      <c r="D1124" s="127">
        <v>0.6</v>
      </c>
      <c r="E1124" s="134">
        <f>$F$22*1.2</f>
        <v>1486.752</v>
      </c>
      <c r="F1124" s="134">
        <f>ROUND(D1124*E1124,2)</f>
        <v>892.05</v>
      </c>
      <c r="G1124" s="100"/>
    </row>
    <row r="1125" spans="1:8" x14ac:dyDescent="0.3">
      <c r="A1125" s="102"/>
      <c r="B1125" s="102" t="s">
        <v>221</v>
      </c>
      <c r="C1125" s="108" t="s">
        <v>168</v>
      </c>
      <c r="D1125" s="109">
        <v>0.6</v>
      </c>
      <c r="E1125" s="100">
        <f>$F$39</f>
        <v>386.38</v>
      </c>
      <c r="F1125" s="100">
        <f>ROUND(D1125*E1125,2)</f>
        <v>231.83</v>
      </c>
      <c r="G1125" s="100"/>
    </row>
    <row r="1126" spans="1:8" x14ac:dyDescent="0.3">
      <c r="A1126" s="114"/>
      <c r="B1126" s="114"/>
      <c r="C1126" s="115"/>
      <c r="D1126" s="116" t="s">
        <v>170</v>
      </c>
      <c r="E1126" s="117"/>
      <c r="F1126" s="132"/>
      <c r="G1126" s="113">
        <f>SUM(F1124:F1125)</f>
        <v>1123.8799999999999</v>
      </c>
      <c r="H1126" s="91"/>
    </row>
    <row r="1127" spans="1:8" ht="15" thickBot="1" x14ac:dyDescent="0.35">
      <c r="C1127" s="80"/>
      <c r="D1127" s="125"/>
      <c r="E1127" s="78"/>
      <c r="F1127" s="78"/>
      <c r="G1127" s="117"/>
    </row>
    <row r="1128" spans="1:8" ht="15.6" thickTop="1" thickBot="1" x14ac:dyDescent="0.35">
      <c r="C1128" s="80"/>
      <c r="D1128" s="125" t="s">
        <v>171</v>
      </c>
      <c r="E1128" s="78"/>
      <c r="F1128" s="78"/>
      <c r="G1128" s="135">
        <f>SUM(G1120:G1126)</f>
        <v>1721.83</v>
      </c>
      <c r="H1128" s="136"/>
    </row>
    <row r="1129" spans="1:8" ht="15" thickTop="1" x14ac:dyDescent="0.3">
      <c r="C1129" s="80"/>
      <c r="D1129" s="125"/>
      <c r="E1129" s="78"/>
      <c r="F1129" s="78"/>
      <c r="G1129" s="137"/>
    </row>
    <row r="1130" spans="1:8" ht="15.6" x14ac:dyDescent="0.3">
      <c r="A1130" s="79" t="s">
        <v>128</v>
      </c>
      <c r="B1130" s="81" t="s">
        <v>244</v>
      </c>
      <c r="C1130" s="80"/>
      <c r="D1130" s="125"/>
      <c r="E1130" s="78"/>
      <c r="F1130" s="78"/>
      <c r="G1130" s="78"/>
    </row>
    <row r="1131" spans="1:8" ht="15.6" x14ac:dyDescent="0.3">
      <c r="A1131" s="79" t="s">
        <v>130</v>
      </c>
      <c r="B1131" s="81" t="s">
        <v>202</v>
      </c>
      <c r="C1131" s="80"/>
      <c r="D1131" s="125"/>
      <c r="E1131" s="78"/>
      <c r="F1131" s="78"/>
      <c r="G1131" s="78"/>
    </row>
    <row r="1132" spans="1:8" x14ac:dyDescent="0.3">
      <c r="C1132" s="80"/>
      <c r="D1132" s="125"/>
      <c r="E1132" s="78"/>
      <c r="F1132" s="78"/>
      <c r="G1132" s="78"/>
    </row>
    <row r="1133" spans="1:8" ht="15" thickBot="1" x14ac:dyDescent="0.35">
      <c r="A1133" s="79" t="s">
        <v>161</v>
      </c>
      <c r="C1133" s="80"/>
      <c r="D1133" s="125"/>
      <c r="E1133" s="78"/>
      <c r="F1133" s="78"/>
      <c r="G1133" s="78"/>
    </row>
    <row r="1134" spans="1:8" ht="15" thickTop="1" x14ac:dyDescent="0.3">
      <c r="A1134" s="84" t="s">
        <v>3</v>
      </c>
      <c r="B1134" s="85" t="s">
        <v>135</v>
      </c>
      <c r="C1134" s="86" t="s">
        <v>5</v>
      </c>
      <c r="D1134" s="87" t="s">
        <v>6</v>
      </c>
      <c r="E1134" s="88" t="s">
        <v>28</v>
      </c>
      <c r="F1134" s="88" t="s">
        <v>28</v>
      </c>
      <c r="G1134" s="89"/>
    </row>
    <row r="1135" spans="1:8" ht="15" thickBot="1" x14ac:dyDescent="0.35">
      <c r="A1135" s="90"/>
      <c r="B1135" s="91"/>
      <c r="C1135" s="92"/>
      <c r="D1135" s="93"/>
      <c r="E1135" s="94" t="s">
        <v>11</v>
      </c>
      <c r="F1135" s="94" t="s">
        <v>10</v>
      </c>
      <c r="G1135" s="89"/>
    </row>
    <row r="1136" spans="1:8" ht="15" thickTop="1" x14ac:dyDescent="0.3">
      <c r="A1136" s="95"/>
      <c r="B1136" s="95" t="str">
        <f>LISTA!C47</f>
        <v>Antióxido</v>
      </c>
      <c r="C1136" s="126" t="str">
        <f>LISTA!E47</f>
        <v>Lts</v>
      </c>
      <c r="D1136" s="127">
        <v>0.06</v>
      </c>
      <c r="E1136" s="134">
        <f>LISTA!F47</f>
        <v>1737</v>
      </c>
      <c r="F1136" s="134">
        <f>ROUND(D1136*E1136,2)</f>
        <v>104.22</v>
      </c>
      <c r="G1136" s="100"/>
    </row>
    <row r="1137" spans="1:8" x14ac:dyDescent="0.3">
      <c r="A1137" s="102"/>
      <c r="B1137" s="102" t="str">
        <f>LISTA!C49</f>
        <v>Esmalte sintético</v>
      </c>
      <c r="C1137" s="108" t="str">
        <f>LISTA!E49</f>
        <v>Lts</v>
      </c>
      <c r="D1137" s="109">
        <v>0.3</v>
      </c>
      <c r="E1137" s="100">
        <f>LISTA!F49</f>
        <v>725</v>
      </c>
      <c r="F1137" s="100">
        <f>ROUND(D1137*E1137,2)</f>
        <v>217.5</v>
      </c>
      <c r="G1137" s="100"/>
    </row>
    <row r="1138" spans="1:8" x14ac:dyDescent="0.3">
      <c r="A1138" s="102"/>
      <c r="B1138" s="102" t="str">
        <f>LISTA!C45</f>
        <v>Lijas y Accesorios</v>
      </c>
      <c r="C1138" s="108" t="str">
        <f>LISTA!E45</f>
        <v>Gl</v>
      </c>
      <c r="D1138" s="109">
        <v>0.15</v>
      </c>
      <c r="E1138" s="100">
        <f>LISTA!F45</f>
        <v>45</v>
      </c>
      <c r="F1138" s="100">
        <f>ROUND(D1138*E1138,2)</f>
        <v>6.75</v>
      </c>
      <c r="G1138" s="100"/>
    </row>
    <row r="1139" spans="1:8" x14ac:dyDescent="0.3">
      <c r="A1139" s="114"/>
      <c r="B1139" s="114"/>
      <c r="C1139" s="115"/>
      <c r="D1139" s="116" t="s">
        <v>165</v>
      </c>
      <c r="E1139" s="117"/>
      <c r="F1139" s="132"/>
      <c r="G1139" s="113">
        <f>SUM(F1136:F1138)</f>
        <v>328.47</v>
      </c>
      <c r="H1139" s="91"/>
    </row>
    <row r="1140" spans="1:8" ht="15" thickBot="1" x14ac:dyDescent="0.35">
      <c r="A1140" s="79" t="s">
        <v>166</v>
      </c>
      <c r="C1140" s="80"/>
      <c r="D1140" s="125"/>
      <c r="E1140" s="78"/>
      <c r="F1140" s="78"/>
      <c r="G1140" s="117"/>
    </row>
    <row r="1141" spans="1:8" ht="15" thickTop="1" x14ac:dyDescent="0.3">
      <c r="A1141" s="84" t="s">
        <v>3</v>
      </c>
      <c r="B1141" s="85" t="s">
        <v>135</v>
      </c>
      <c r="C1141" s="86" t="s">
        <v>5</v>
      </c>
      <c r="D1141" s="87" t="s">
        <v>6</v>
      </c>
      <c r="E1141" s="88" t="s">
        <v>28</v>
      </c>
      <c r="F1141" s="88" t="s">
        <v>28</v>
      </c>
      <c r="G1141" s="89"/>
    </row>
    <row r="1142" spans="1:8" ht="15" thickBot="1" x14ac:dyDescent="0.35">
      <c r="A1142" s="90"/>
      <c r="B1142" s="91"/>
      <c r="C1142" s="92"/>
      <c r="D1142" s="93"/>
      <c r="E1142" s="94" t="s">
        <v>11</v>
      </c>
      <c r="F1142" s="94" t="s">
        <v>10</v>
      </c>
      <c r="G1142" s="89"/>
    </row>
    <row r="1143" spans="1:8" ht="15" thickTop="1" x14ac:dyDescent="0.3">
      <c r="A1143" s="95"/>
      <c r="B1143" s="95" t="s">
        <v>167</v>
      </c>
      <c r="C1143" s="126" t="s">
        <v>168</v>
      </c>
      <c r="D1143" s="127">
        <v>0.6</v>
      </c>
      <c r="E1143" s="134">
        <f>$F$22*1.2</f>
        <v>1486.752</v>
      </c>
      <c r="F1143" s="134">
        <f>ROUND(D1143*E1143,2)</f>
        <v>892.05</v>
      </c>
      <c r="G1143" s="100"/>
    </row>
    <row r="1144" spans="1:8" x14ac:dyDescent="0.3">
      <c r="A1144" s="102"/>
      <c r="B1144" s="102" t="s">
        <v>221</v>
      </c>
      <c r="C1144" s="108" t="s">
        <v>168</v>
      </c>
      <c r="D1144" s="109">
        <v>0.5</v>
      </c>
      <c r="E1144" s="100">
        <f>$F$39</f>
        <v>386.38</v>
      </c>
      <c r="F1144" s="100">
        <f>ROUND(D1144*E1144,2)</f>
        <v>193.19</v>
      </c>
      <c r="G1144" s="100"/>
    </row>
    <row r="1145" spans="1:8" x14ac:dyDescent="0.3">
      <c r="A1145" s="114"/>
      <c r="B1145" s="114"/>
      <c r="C1145" s="115"/>
      <c r="D1145" s="116" t="s">
        <v>170</v>
      </c>
      <c r="E1145" s="117"/>
      <c r="F1145" s="132"/>
      <c r="G1145" s="113">
        <f>SUM(F1143:F1144)</f>
        <v>1085.24</v>
      </c>
      <c r="H1145" s="91"/>
    </row>
    <row r="1146" spans="1:8" ht="15" thickBot="1" x14ac:dyDescent="0.35">
      <c r="C1146" s="80"/>
      <c r="D1146" s="125"/>
      <c r="E1146" s="78"/>
      <c r="F1146" s="78"/>
      <c r="G1146" s="117"/>
    </row>
    <row r="1147" spans="1:8" ht="15.6" thickTop="1" thickBot="1" x14ac:dyDescent="0.35">
      <c r="C1147" s="80"/>
      <c r="D1147" s="125" t="s">
        <v>171</v>
      </c>
      <c r="E1147" s="78"/>
      <c r="F1147" s="78"/>
      <c r="G1147" s="135">
        <f>SUM(G1139:G1145)</f>
        <v>1413.71</v>
      </c>
      <c r="H1147" s="136"/>
    </row>
    <row r="1148" spans="1:8" ht="15" thickTop="1" x14ac:dyDescent="0.3">
      <c r="C1148" s="80"/>
      <c r="D1148" s="125"/>
      <c r="E1148" s="78"/>
      <c r="F1148" s="78"/>
      <c r="G1148" s="137"/>
    </row>
    <row r="1149" spans="1:8" ht="15.6" x14ac:dyDescent="0.3">
      <c r="A1149" s="79" t="s">
        <v>128</v>
      </c>
      <c r="B1149" s="81" t="s">
        <v>245</v>
      </c>
      <c r="C1149" s="80"/>
      <c r="D1149" s="125"/>
      <c r="E1149" s="78"/>
      <c r="F1149" s="78"/>
      <c r="G1149" s="78"/>
    </row>
    <row r="1150" spans="1:8" ht="15.6" x14ac:dyDescent="0.3">
      <c r="A1150" s="79" t="s">
        <v>130</v>
      </c>
      <c r="B1150" s="81" t="s">
        <v>202</v>
      </c>
      <c r="C1150" s="80"/>
      <c r="D1150" s="125"/>
      <c r="E1150" s="78"/>
      <c r="F1150" s="78"/>
      <c r="G1150" s="78"/>
    </row>
    <row r="1151" spans="1:8" x14ac:dyDescent="0.3">
      <c r="C1151" s="80"/>
      <c r="D1151" s="125"/>
      <c r="E1151" s="78"/>
      <c r="F1151" s="78"/>
      <c r="G1151" s="78"/>
    </row>
    <row r="1152" spans="1:8" ht="15" thickBot="1" x14ac:dyDescent="0.35">
      <c r="A1152" s="79" t="s">
        <v>161</v>
      </c>
      <c r="C1152" s="80"/>
      <c r="D1152" s="125"/>
      <c r="E1152" s="78"/>
      <c r="F1152" s="78"/>
      <c r="G1152" s="78"/>
    </row>
    <row r="1153" spans="1:12" ht="15" thickTop="1" x14ac:dyDescent="0.3">
      <c r="A1153" s="84" t="s">
        <v>3</v>
      </c>
      <c r="B1153" s="85" t="s">
        <v>135</v>
      </c>
      <c r="C1153" s="86" t="s">
        <v>5</v>
      </c>
      <c r="D1153" s="87" t="s">
        <v>6</v>
      </c>
      <c r="E1153" s="88" t="s">
        <v>28</v>
      </c>
      <c r="F1153" s="88" t="s">
        <v>28</v>
      </c>
      <c r="G1153" s="89"/>
    </row>
    <row r="1154" spans="1:12" ht="15" thickBot="1" x14ac:dyDescent="0.35">
      <c r="A1154" s="90"/>
      <c r="B1154" s="91"/>
      <c r="C1154" s="92"/>
      <c r="D1154" s="93"/>
      <c r="E1154" s="94" t="s">
        <v>11</v>
      </c>
      <c r="F1154" s="94" t="s">
        <v>10</v>
      </c>
      <c r="G1154" s="89"/>
    </row>
    <row r="1155" spans="1:12" ht="15" thickTop="1" x14ac:dyDescent="0.3">
      <c r="A1155" s="95"/>
      <c r="B1155" s="95" t="str">
        <f>LISTA!C54</f>
        <v>Pintura a látex p/ piletas</v>
      </c>
      <c r="C1155" s="126" t="str">
        <f>LISTA!E54</f>
        <v>Lts</v>
      </c>
      <c r="D1155" s="127">
        <v>0.3</v>
      </c>
      <c r="E1155" s="134">
        <f>LISTA!F54</f>
        <v>3293</v>
      </c>
      <c r="F1155" s="134">
        <f>ROUND(D1155*E1155,2)</f>
        <v>987.9</v>
      </c>
      <c r="G1155" s="100"/>
    </row>
    <row r="1156" spans="1:12" x14ac:dyDescent="0.3">
      <c r="A1156" s="102"/>
      <c r="B1156" s="102" t="str">
        <f>LISTA!C62</f>
        <v>Sellador 1º Mano</v>
      </c>
      <c r="C1156" s="108" t="str">
        <f>LISTA!E62</f>
        <v>Lts</v>
      </c>
      <c r="D1156" s="109">
        <v>0.1</v>
      </c>
      <c r="E1156" s="100">
        <f>LISTA!F62</f>
        <v>439</v>
      </c>
      <c r="F1156" s="100">
        <f>ROUND(D1156*E1156,2)</f>
        <v>43.9</v>
      </c>
      <c r="G1156" s="100"/>
    </row>
    <row r="1157" spans="1:12" x14ac:dyDescent="0.3">
      <c r="A1157" s="102"/>
      <c r="B1157" s="102" t="str">
        <f>LISTA!$C$45</f>
        <v>Lijas y Accesorios</v>
      </c>
      <c r="C1157" s="108" t="str">
        <f>LISTA!$E$45</f>
        <v>Gl</v>
      </c>
      <c r="D1157" s="109">
        <v>0.2</v>
      </c>
      <c r="E1157" s="130">
        <f>LISTA!$F$45</f>
        <v>45</v>
      </c>
      <c r="F1157" s="100">
        <f>ROUND(D1157*E1157,2)</f>
        <v>9</v>
      </c>
      <c r="G1157" s="100"/>
    </row>
    <row r="1158" spans="1:12" x14ac:dyDescent="0.3">
      <c r="A1158" s="114"/>
      <c r="B1158" s="114"/>
      <c r="C1158" s="115"/>
      <c r="D1158" s="116" t="s">
        <v>165</v>
      </c>
      <c r="E1158" s="117"/>
      <c r="F1158" s="132"/>
      <c r="G1158" s="113">
        <f>SUM(F1155:F1157)</f>
        <v>1040.8</v>
      </c>
      <c r="H1158" s="91"/>
    </row>
    <row r="1159" spans="1:12" ht="15" thickBot="1" x14ac:dyDescent="0.35">
      <c r="A1159" s="79" t="s">
        <v>166</v>
      </c>
      <c r="C1159" s="80"/>
      <c r="D1159" s="125"/>
      <c r="E1159" s="78"/>
      <c r="F1159" s="78"/>
      <c r="G1159" s="117"/>
    </row>
    <row r="1160" spans="1:12" ht="15" thickTop="1" x14ac:dyDescent="0.3">
      <c r="A1160" s="84" t="s">
        <v>3</v>
      </c>
      <c r="B1160" s="85" t="s">
        <v>135</v>
      </c>
      <c r="C1160" s="86" t="s">
        <v>5</v>
      </c>
      <c r="D1160" s="87" t="s">
        <v>6</v>
      </c>
      <c r="E1160" s="88" t="s">
        <v>28</v>
      </c>
      <c r="F1160" s="88" t="s">
        <v>28</v>
      </c>
      <c r="G1160" s="89"/>
    </row>
    <row r="1161" spans="1:12" ht="15" thickBot="1" x14ac:dyDescent="0.35">
      <c r="A1161" s="90"/>
      <c r="B1161" s="91"/>
      <c r="C1161" s="92"/>
      <c r="D1161" s="93"/>
      <c r="E1161" s="94" t="s">
        <v>11</v>
      </c>
      <c r="F1161" s="94" t="s">
        <v>10</v>
      </c>
      <c r="G1161" s="89"/>
    </row>
    <row r="1162" spans="1:12" ht="15" thickTop="1" x14ac:dyDescent="0.3">
      <c r="A1162" s="95"/>
      <c r="B1162" s="95" t="s">
        <v>167</v>
      </c>
      <c r="C1162" s="126" t="s">
        <v>168</v>
      </c>
      <c r="D1162" s="127">
        <v>0.6</v>
      </c>
      <c r="E1162" s="134">
        <f>$F$22*1.2</f>
        <v>1486.752</v>
      </c>
      <c r="F1162" s="134">
        <f>ROUND(D1162*E1162,2)</f>
        <v>892.05</v>
      </c>
      <c r="G1162" s="100"/>
    </row>
    <row r="1163" spans="1:12" x14ac:dyDescent="0.3">
      <c r="A1163" s="102"/>
      <c r="B1163" s="102" t="s">
        <v>221</v>
      </c>
      <c r="C1163" s="108" t="s">
        <v>168</v>
      </c>
      <c r="D1163" s="109">
        <v>0.4</v>
      </c>
      <c r="E1163" s="100">
        <f>$F$39</f>
        <v>386.38</v>
      </c>
      <c r="F1163" s="100">
        <f>ROUND(D1163*E1163,2)</f>
        <v>154.55000000000001</v>
      </c>
      <c r="G1163" s="100"/>
    </row>
    <row r="1164" spans="1:12" x14ac:dyDescent="0.3">
      <c r="A1164" s="114"/>
      <c r="B1164" s="114"/>
      <c r="C1164" s="115"/>
      <c r="D1164" s="116" t="s">
        <v>170</v>
      </c>
      <c r="E1164" s="117"/>
      <c r="F1164" s="132"/>
      <c r="G1164" s="113">
        <f>SUM(F1162:F1163)</f>
        <v>1046.5999999999999</v>
      </c>
      <c r="H1164" s="91"/>
    </row>
    <row r="1165" spans="1:12" ht="15" thickBot="1" x14ac:dyDescent="0.35">
      <c r="C1165" s="80"/>
      <c r="D1165" s="125"/>
      <c r="E1165" s="78"/>
      <c r="F1165" s="78"/>
      <c r="G1165" s="117"/>
    </row>
    <row r="1166" spans="1:12" ht="15.6" thickTop="1" thickBot="1" x14ac:dyDescent="0.35">
      <c r="C1166" s="80"/>
      <c r="D1166" s="125" t="s">
        <v>171</v>
      </c>
      <c r="E1166" s="78"/>
      <c r="F1166" s="78"/>
      <c r="G1166" s="135">
        <f>SUM(G1158:G1164)</f>
        <v>2087.3999999999996</v>
      </c>
      <c r="H1166" s="136"/>
    </row>
    <row r="1167" spans="1:12" ht="15" thickTop="1" x14ac:dyDescent="0.3">
      <c r="C1167" s="80"/>
      <c r="D1167" s="125"/>
      <c r="E1167" s="78"/>
      <c r="F1167" s="78"/>
      <c r="G1167" s="137"/>
    </row>
    <row r="1168" spans="1:12" s="61" customFormat="1" ht="15.6" x14ac:dyDescent="0.3">
      <c r="A1168" s="61" t="s">
        <v>128</v>
      </c>
      <c r="B1168" s="60" t="s">
        <v>246</v>
      </c>
      <c r="C1168" s="150"/>
      <c r="D1168" s="151"/>
      <c r="E1168" s="152"/>
      <c r="F1168" s="152"/>
      <c r="G1168" s="152"/>
      <c r="K1168" s="153"/>
      <c r="L1168" s="101"/>
    </row>
    <row r="1169" spans="1:12" s="61" customFormat="1" ht="15.6" x14ac:dyDescent="0.3">
      <c r="A1169" s="61" t="s">
        <v>130</v>
      </c>
      <c r="B1169" s="60" t="s">
        <v>204</v>
      </c>
      <c r="C1169" s="150"/>
      <c r="D1169" s="151"/>
      <c r="E1169" s="152"/>
      <c r="F1169" s="152"/>
      <c r="G1169" s="152"/>
      <c r="K1169" s="153"/>
      <c r="L1169" s="101"/>
    </row>
    <row r="1170" spans="1:12" s="61" customFormat="1" ht="13.2" x14ac:dyDescent="0.25">
      <c r="C1170" s="150"/>
      <c r="D1170" s="151"/>
      <c r="E1170" s="152"/>
      <c r="F1170" s="152"/>
      <c r="G1170" s="152"/>
      <c r="K1170" s="153"/>
      <c r="L1170" s="101"/>
    </row>
    <row r="1171" spans="1:12" s="61" customFormat="1" ht="13.8" thickBot="1" x14ac:dyDescent="0.3">
      <c r="A1171" s="61" t="s">
        <v>161</v>
      </c>
      <c r="C1171" s="150"/>
      <c r="D1171" s="151"/>
      <c r="E1171" s="152"/>
      <c r="F1171" s="152"/>
      <c r="G1171" s="152"/>
      <c r="K1171" s="153"/>
      <c r="L1171" s="101"/>
    </row>
    <row r="1172" spans="1:12" s="61" customFormat="1" ht="13.8" thickTop="1" x14ac:dyDescent="0.25">
      <c r="A1172" s="154" t="s">
        <v>3</v>
      </c>
      <c r="B1172" s="155" t="s">
        <v>135</v>
      </c>
      <c r="C1172" s="156" t="s">
        <v>5</v>
      </c>
      <c r="D1172" s="157" t="s">
        <v>6</v>
      </c>
      <c r="E1172" s="158" t="s">
        <v>28</v>
      </c>
      <c r="F1172" s="158" t="s">
        <v>28</v>
      </c>
      <c r="G1172" s="159"/>
      <c r="K1172" s="153"/>
      <c r="L1172" s="101"/>
    </row>
    <row r="1173" spans="1:12" s="61" customFormat="1" ht="13.8" thickBot="1" x14ac:dyDescent="0.3">
      <c r="A1173" s="160"/>
      <c r="B1173" s="161"/>
      <c r="C1173" s="162"/>
      <c r="D1173" s="163"/>
      <c r="E1173" s="164" t="s">
        <v>11</v>
      </c>
      <c r="F1173" s="164" t="s">
        <v>10</v>
      </c>
      <c r="G1173" s="159"/>
      <c r="K1173" s="153"/>
      <c r="L1173" s="101"/>
    </row>
    <row r="1174" spans="1:12" s="61" customFormat="1" ht="13.8" thickTop="1" x14ac:dyDescent="0.25">
      <c r="A1174" s="165"/>
      <c r="B1174" s="166" t="s">
        <v>247</v>
      </c>
      <c r="C1174" s="167" t="s">
        <v>35</v>
      </c>
      <c r="D1174" s="168">
        <f>0.2*0.2</f>
        <v>4.0000000000000008E-2</v>
      </c>
      <c r="E1174" s="169">
        <f>+$G$203</f>
        <v>1545.52</v>
      </c>
      <c r="F1174" s="169">
        <f t="shared" ref="F1174:F1180" si="9">ROUND(D1174*E1174,2)</f>
        <v>61.82</v>
      </c>
      <c r="G1174" s="170"/>
      <c r="K1174" s="153"/>
      <c r="L1174" s="101"/>
    </row>
    <row r="1175" spans="1:12" s="61" customFormat="1" ht="13.2" x14ac:dyDescent="0.25">
      <c r="A1175" s="171"/>
      <c r="B1175" s="172" t="s">
        <v>248</v>
      </c>
      <c r="C1175" s="173" t="s">
        <v>35</v>
      </c>
      <c r="D1175" s="174">
        <f>1*0.05</f>
        <v>0.05</v>
      </c>
      <c r="E1175" s="170">
        <f>+G222</f>
        <v>11591.4</v>
      </c>
      <c r="F1175" s="170">
        <f>ROUND(D1175*E1175,2)</f>
        <v>579.57000000000005</v>
      </c>
      <c r="G1175" s="171"/>
      <c r="K1175" s="153"/>
      <c r="L1175" s="101"/>
    </row>
    <row r="1176" spans="1:12" s="61" customFormat="1" ht="13.2" x14ac:dyDescent="0.25">
      <c r="A1176" s="171"/>
      <c r="B1176" s="172" t="s">
        <v>249</v>
      </c>
      <c r="C1176" s="173" t="s">
        <v>35</v>
      </c>
      <c r="D1176" s="174">
        <f>0.15*0.5</f>
        <v>7.4999999999999997E-2</v>
      </c>
      <c r="E1176" s="170">
        <f>+$G$352</f>
        <v>88700.89</v>
      </c>
      <c r="F1176" s="170">
        <f t="shared" si="9"/>
        <v>6652.57</v>
      </c>
      <c r="G1176" s="170"/>
      <c r="K1176" s="153"/>
      <c r="L1176" s="101"/>
    </row>
    <row r="1177" spans="1:12" s="61" customFormat="1" ht="13.2" x14ac:dyDescent="0.25">
      <c r="A1177" s="171"/>
      <c r="B1177" s="172" t="s">
        <v>250</v>
      </c>
      <c r="C1177" s="173" t="s">
        <v>251</v>
      </c>
      <c r="D1177" s="174">
        <v>1</v>
      </c>
      <c r="E1177" s="170">
        <f>+$G$309</f>
        <v>856.67</v>
      </c>
      <c r="F1177" s="170">
        <f t="shared" si="9"/>
        <v>856.67</v>
      </c>
      <c r="G1177" s="171"/>
      <c r="K1177" s="153"/>
      <c r="L1177" s="101"/>
    </row>
    <row r="1178" spans="1:12" s="61" customFormat="1" ht="13.2" x14ac:dyDescent="0.25">
      <c r="A1178" s="171"/>
      <c r="B1178" s="172" t="s">
        <v>252</v>
      </c>
      <c r="C1178" s="173" t="s">
        <v>61</v>
      </c>
      <c r="D1178" s="174">
        <v>0.33</v>
      </c>
      <c r="E1178" s="170">
        <v>21</v>
      </c>
      <c r="F1178" s="170">
        <f t="shared" si="9"/>
        <v>6.93</v>
      </c>
      <c r="G1178" s="171"/>
      <c r="K1178" s="153"/>
      <c r="L1178" s="101"/>
    </row>
    <row r="1179" spans="1:12" s="61" customFormat="1" ht="13.2" x14ac:dyDescent="0.25">
      <c r="A1179" s="171"/>
      <c r="B1179" s="172" t="s">
        <v>253</v>
      </c>
      <c r="C1179" s="173" t="s">
        <v>41</v>
      </c>
      <c r="D1179" s="174">
        <v>2</v>
      </c>
      <c r="E1179" s="170">
        <v>12.5</v>
      </c>
      <c r="F1179" s="170">
        <f t="shared" si="9"/>
        <v>25</v>
      </c>
      <c r="G1179" s="171"/>
      <c r="K1179" s="153"/>
      <c r="L1179" s="101"/>
    </row>
    <row r="1180" spans="1:12" s="61" customFormat="1" ht="13.2" x14ac:dyDescent="0.25">
      <c r="A1180" s="171"/>
      <c r="B1180" s="172" t="s">
        <v>254</v>
      </c>
      <c r="C1180" s="173" t="s">
        <v>1</v>
      </c>
      <c r="D1180" s="174">
        <v>1</v>
      </c>
      <c r="E1180" s="170">
        <v>5</v>
      </c>
      <c r="F1180" s="170">
        <f t="shared" si="9"/>
        <v>5</v>
      </c>
      <c r="G1180" s="171"/>
      <c r="K1180" s="153"/>
      <c r="L1180" s="101"/>
    </row>
    <row r="1181" spans="1:12" s="61" customFormat="1" ht="13.2" x14ac:dyDescent="0.25">
      <c r="A1181" s="175"/>
      <c r="B1181" s="175"/>
      <c r="C1181" s="176"/>
      <c r="D1181" s="177" t="s">
        <v>165</v>
      </c>
      <c r="E1181" s="178"/>
      <c r="F1181" s="179"/>
      <c r="G1181" s="180">
        <f>SUM(F1174:F1180)</f>
        <v>8187.56</v>
      </c>
      <c r="H1181" s="161"/>
      <c r="K1181" s="153"/>
      <c r="L1181" s="101"/>
    </row>
    <row r="1182" spans="1:12" s="61" customFormat="1" ht="13.8" thickBot="1" x14ac:dyDescent="0.3">
      <c r="A1182" s="61" t="s">
        <v>166</v>
      </c>
      <c r="C1182" s="150"/>
      <c r="D1182" s="151"/>
      <c r="E1182" s="152"/>
      <c r="F1182" s="152"/>
      <c r="G1182" s="178"/>
      <c r="K1182" s="153"/>
      <c r="L1182" s="101"/>
    </row>
    <row r="1183" spans="1:12" s="61" customFormat="1" ht="13.8" thickTop="1" x14ac:dyDescent="0.25">
      <c r="A1183" s="154" t="s">
        <v>3</v>
      </c>
      <c r="B1183" s="155" t="s">
        <v>135</v>
      </c>
      <c r="C1183" s="156" t="s">
        <v>5</v>
      </c>
      <c r="D1183" s="157" t="s">
        <v>6</v>
      </c>
      <c r="E1183" s="158" t="s">
        <v>28</v>
      </c>
      <c r="F1183" s="158" t="s">
        <v>28</v>
      </c>
      <c r="G1183" s="159"/>
      <c r="K1183" s="153"/>
      <c r="L1183" s="101"/>
    </row>
    <row r="1184" spans="1:12" s="61" customFormat="1" ht="13.8" thickBot="1" x14ac:dyDescent="0.3">
      <c r="A1184" s="160"/>
      <c r="B1184" s="161"/>
      <c r="C1184" s="162"/>
      <c r="D1184" s="163"/>
      <c r="E1184" s="164" t="s">
        <v>11</v>
      </c>
      <c r="F1184" s="164" t="s">
        <v>10</v>
      </c>
      <c r="G1184" s="159"/>
      <c r="K1184" s="153"/>
      <c r="L1184" s="101"/>
    </row>
    <row r="1185" spans="1:12" s="61" customFormat="1" ht="13.8" thickTop="1" x14ac:dyDescent="0.25">
      <c r="A1185" s="165"/>
      <c r="B1185" s="165" t="s">
        <v>255</v>
      </c>
      <c r="C1185" s="167" t="s">
        <v>168</v>
      </c>
      <c r="D1185" s="181">
        <v>0</v>
      </c>
      <c r="E1185" s="169">
        <f>$F$22*1.2</f>
        <v>1486.752</v>
      </c>
      <c r="F1185" s="169">
        <f>ROUND(D1185*E1185,2)</f>
        <v>0</v>
      </c>
      <c r="G1185" s="170"/>
      <c r="K1185" s="153"/>
      <c r="L1185" s="101"/>
    </row>
    <row r="1186" spans="1:12" s="61" customFormat="1" ht="13.2" x14ac:dyDescent="0.25">
      <c r="A1186" s="171"/>
      <c r="B1186" s="171" t="s">
        <v>167</v>
      </c>
      <c r="C1186" s="173" t="s">
        <v>168</v>
      </c>
      <c r="D1186" s="182">
        <v>2</v>
      </c>
      <c r="E1186" s="170">
        <f>$F$22</f>
        <v>1238.96</v>
      </c>
      <c r="F1186" s="170">
        <f>ROUND(D1186*E1186,2)</f>
        <v>2477.92</v>
      </c>
      <c r="G1186" s="170"/>
      <c r="K1186" s="153"/>
      <c r="L1186" s="101"/>
    </row>
    <row r="1187" spans="1:12" s="61" customFormat="1" ht="13.2" x14ac:dyDescent="0.25">
      <c r="A1187" s="171"/>
      <c r="B1187" s="171" t="s">
        <v>221</v>
      </c>
      <c r="C1187" s="173" t="s">
        <v>168</v>
      </c>
      <c r="D1187" s="182">
        <v>2</v>
      </c>
      <c r="E1187" s="170">
        <f>$F$39</f>
        <v>386.38</v>
      </c>
      <c r="F1187" s="170">
        <f>ROUND(D1187*E1187,2)</f>
        <v>772.76</v>
      </c>
      <c r="G1187" s="170"/>
      <c r="K1187" s="153"/>
      <c r="L1187" s="101"/>
    </row>
    <row r="1188" spans="1:12" s="61" customFormat="1" ht="13.2" x14ac:dyDescent="0.25">
      <c r="A1188" s="175"/>
      <c r="B1188" s="175"/>
      <c r="C1188" s="176"/>
      <c r="D1188" s="177" t="s">
        <v>170</v>
      </c>
      <c r="E1188" s="178"/>
      <c r="F1188" s="179"/>
      <c r="G1188" s="180">
        <f>SUM(F1185:F1187)</f>
        <v>3250.6800000000003</v>
      </c>
      <c r="H1188" s="161"/>
      <c r="K1188" s="153"/>
      <c r="L1188" s="101"/>
    </row>
    <row r="1189" spans="1:12" s="61" customFormat="1" ht="13.8" thickBot="1" x14ac:dyDescent="0.3">
      <c r="C1189" s="150"/>
      <c r="D1189" s="151"/>
      <c r="E1189" s="152"/>
      <c r="F1189" s="152"/>
      <c r="G1189" s="178"/>
      <c r="K1189" s="153"/>
      <c r="L1189" s="101"/>
    </row>
    <row r="1190" spans="1:12" s="61" customFormat="1" thickTop="1" thickBot="1" x14ac:dyDescent="0.3">
      <c r="C1190" s="150"/>
      <c r="D1190" s="151" t="s">
        <v>171</v>
      </c>
      <c r="E1190" s="152"/>
      <c r="F1190" s="152"/>
      <c r="G1190" s="183">
        <f>SUM(G1181:G1188)</f>
        <v>11438.240000000002</v>
      </c>
      <c r="H1190" s="184"/>
      <c r="K1190" s="153"/>
      <c r="L1190" s="101"/>
    </row>
    <row r="1191" spans="1:12" ht="15" thickTop="1" x14ac:dyDescent="0.3">
      <c r="C1191" s="185"/>
      <c r="D1191" s="186"/>
      <c r="E1191" s="187"/>
      <c r="F1191" s="187"/>
      <c r="G1191" s="188"/>
    </row>
    <row r="1192" spans="1:12" ht="15.6" x14ac:dyDescent="0.3">
      <c r="A1192" s="79" t="s">
        <v>128</v>
      </c>
      <c r="B1192" s="81" t="s">
        <v>256</v>
      </c>
      <c r="C1192" s="80"/>
      <c r="D1192" s="125"/>
      <c r="E1192" s="78"/>
      <c r="F1192" s="78"/>
      <c r="G1192" s="78"/>
    </row>
    <row r="1193" spans="1:12" ht="15.6" x14ac:dyDescent="0.3">
      <c r="A1193" s="79" t="s">
        <v>130</v>
      </c>
      <c r="B1193" s="81" t="s">
        <v>202</v>
      </c>
      <c r="C1193" s="80"/>
      <c r="D1193" s="125"/>
      <c r="E1193" s="78"/>
      <c r="F1193" s="78"/>
      <c r="G1193" s="78"/>
    </row>
    <row r="1194" spans="1:12" x14ac:dyDescent="0.3">
      <c r="C1194" s="80"/>
      <c r="D1194" s="125"/>
      <c r="E1194" s="78"/>
      <c r="F1194" s="78"/>
      <c r="G1194" s="78"/>
    </row>
    <row r="1195" spans="1:12" ht="15" thickBot="1" x14ac:dyDescent="0.35">
      <c r="A1195" s="79" t="s">
        <v>161</v>
      </c>
      <c r="C1195" s="80"/>
      <c r="D1195" s="125"/>
      <c r="E1195" s="78"/>
      <c r="F1195" s="78"/>
      <c r="G1195" s="78"/>
    </row>
    <row r="1196" spans="1:12" ht="15" thickTop="1" x14ac:dyDescent="0.3">
      <c r="A1196" s="84" t="s">
        <v>3</v>
      </c>
      <c r="B1196" s="85" t="s">
        <v>135</v>
      </c>
      <c r="C1196" s="86" t="s">
        <v>5</v>
      </c>
      <c r="D1196" s="87" t="s">
        <v>6</v>
      </c>
      <c r="E1196" s="88" t="s">
        <v>28</v>
      </c>
      <c r="F1196" s="88" t="s">
        <v>28</v>
      </c>
      <c r="G1196" s="89"/>
    </row>
    <row r="1197" spans="1:12" ht="15" thickBot="1" x14ac:dyDescent="0.35">
      <c r="A1197" s="90"/>
      <c r="B1197" s="91"/>
      <c r="C1197" s="92"/>
      <c r="D1197" s="93"/>
      <c r="E1197" s="94" t="s">
        <v>11</v>
      </c>
      <c r="F1197" s="94" t="s">
        <v>10</v>
      </c>
      <c r="G1197" s="89"/>
    </row>
    <row r="1198" spans="1:12" ht="15" thickTop="1" x14ac:dyDescent="0.3">
      <c r="A1198" s="95"/>
      <c r="B1198" s="95" t="str">
        <f>LISTA!$C$10</f>
        <v>Cemento</v>
      </c>
      <c r="C1198" s="126" t="str">
        <f>LISTA!$E$10</f>
        <v>Kg</v>
      </c>
      <c r="D1198" s="127">
        <f>300*0.1*0.15</f>
        <v>4.5</v>
      </c>
      <c r="E1198" s="134">
        <f>LISTA!$F$10</f>
        <v>6.15</v>
      </c>
      <c r="F1198" s="134">
        <f>ROUND(D1198*E1198,2)</f>
        <v>27.68</v>
      </c>
      <c r="G1198" s="100"/>
    </row>
    <row r="1199" spans="1:12" x14ac:dyDescent="0.3">
      <c r="A1199" s="102"/>
      <c r="B1199" s="102" t="str">
        <f>LISTA!$C$11</f>
        <v xml:space="preserve">Arena </v>
      </c>
      <c r="C1199" s="108" t="str">
        <f>LISTA!$E$11</f>
        <v>M3</v>
      </c>
      <c r="D1199" s="109">
        <f>0.65*0.1*0.15</f>
        <v>9.75E-3</v>
      </c>
      <c r="E1199" s="100">
        <f>LISTA!$F$11</f>
        <v>2890</v>
      </c>
      <c r="F1199" s="100">
        <f>ROUND(D1199*E1199,2)</f>
        <v>28.18</v>
      </c>
      <c r="G1199" s="100"/>
    </row>
    <row r="1200" spans="1:12" x14ac:dyDescent="0.3">
      <c r="A1200" s="102"/>
      <c r="B1200" s="102" t="str">
        <f>LISTA!$C$93</f>
        <v>Mesada granito reconstituido</v>
      </c>
      <c r="C1200" s="108" t="str">
        <f>LISTA!$E$93</f>
        <v>M2</v>
      </c>
      <c r="D1200" s="109">
        <v>1</v>
      </c>
      <c r="E1200" s="100">
        <f>LISTA!$F$93</f>
        <v>5450</v>
      </c>
      <c r="F1200" s="100">
        <f>ROUND(D1200*E1200,2)</f>
        <v>5450</v>
      </c>
      <c r="G1200" s="100"/>
    </row>
    <row r="1201" spans="1:8" x14ac:dyDescent="0.3">
      <c r="A1201" s="102"/>
      <c r="B1201" s="102" t="str">
        <f>LISTA!$C$95</f>
        <v>Angulos y perfilerías de hierro</v>
      </c>
      <c r="C1201" s="108" t="str">
        <f>LISTA!$E$95</f>
        <v>Kg</v>
      </c>
      <c r="D1201" s="109">
        <v>4</v>
      </c>
      <c r="E1201" s="100">
        <f>LISTA!$F$95</f>
        <v>2558</v>
      </c>
      <c r="F1201" s="100">
        <f>ROUND(D1201*E1201,2)</f>
        <v>10232</v>
      </c>
      <c r="G1201" s="100"/>
    </row>
    <row r="1202" spans="1:8" x14ac:dyDescent="0.3">
      <c r="A1202" s="114"/>
      <c r="B1202" s="114"/>
      <c r="C1202" s="115"/>
      <c r="D1202" s="116" t="s">
        <v>165</v>
      </c>
      <c r="E1202" s="117"/>
      <c r="F1202" s="132"/>
      <c r="G1202" s="113">
        <f>SUM(F1198:F1201)</f>
        <v>15737.86</v>
      </c>
      <c r="H1202" s="91"/>
    </row>
    <row r="1203" spans="1:8" x14ac:dyDescent="0.3">
      <c r="C1203" s="80"/>
      <c r="D1203" s="125"/>
      <c r="E1203" s="78"/>
      <c r="F1203" s="78"/>
      <c r="G1203" s="117"/>
    </row>
    <row r="1204" spans="1:8" ht="15" thickBot="1" x14ac:dyDescent="0.35">
      <c r="A1204" s="79" t="s">
        <v>166</v>
      </c>
      <c r="C1204" s="80"/>
      <c r="D1204" s="125"/>
      <c r="E1204" s="78"/>
      <c r="F1204" s="78"/>
      <c r="G1204" s="78"/>
    </row>
    <row r="1205" spans="1:8" ht="15" thickTop="1" x14ac:dyDescent="0.3">
      <c r="A1205" s="84" t="s">
        <v>3</v>
      </c>
      <c r="B1205" s="85" t="s">
        <v>135</v>
      </c>
      <c r="C1205" s="86" t="s">
        <v>5</v>
      </c>
      <c r="D1205" s="87" t="s">
        <v>6</v>
      </c>
      <c r="E1205" s="88" t="s">
        <v>28</v>
      </c>
      <c r="F1205" s="88" t="s">
        <v>28</v>
      </c>
      <c r="G1205" s="89"/>
    </row>
    <row r="1206" spans="1:8" ht="15" thickBot="1" x14ac:dyDescent="0.35">
      <c r="A1206" s="90"/>
      <c r="B1206" s="91"/>
      <c r="C1206" s="92"/>
      <c r="D1206" s="93"/>
      <c r="E1206" s="94" t="s">
        <v>11</v>
      </c>
      <c r="F1206" s="94" t="s">
        <v>10</v>
      </c>
      <c r="G1206" s="89"/>
    </row>
    <row r="1207" spans="1:8" ht="15" thickTop="1" x14ac:dyDescent="0.3">
      <c r="A1207" s="95"/>
      <c r="B1207" s="95" t="s">
        <v>167</v>
      </c>
      <c r="C1207" s="126" t="s">
        <v>168</v>
      </c>
      <c r="D1207" s="127">
        <v>8</v>
      </c>
      <c r="E1207" s="134">
        <f>$F$22</f>
        <v>1238.96</v>
      </c>
      <c r="F1207" s="134">
        <f>ROUND(D1207*E1207,2)</f>
        <v>9911.68</v>
      </c>
      <c r="G1207" s="100"/>
    </row>
    <row r="1208" spans="1:8" x14ac:dyDescent="0.3">
      <c r="A1208" s="102"/>
      <c r="B1208" s="102" t="s">
        <v>169</v>
      </c>
      <c r="C1208" s="108" t="s">
        <v>168</v>
      </c>
      <c r="D1208" s="109">
        <v>3</v>
      </c>
      <c r="E1208" s="100">
        <f>$F$39</f>
        <v>386.38</v>
      </c>
      <c r="F1208" s="100">
        <f>ROUND(D1208*E1208,2)</f>
        <v>1159.1400000000001</v>
      </c>
      <c r="G1208" s="100"/>
    </row>
    <row r="1209" spans="1:8" x14ac:dyDescent="0.3">
      <c r="A1209" s="114"/>
      <c r="B1209" s="114"/>
      <c r="C1209" s="115"/>
      <c r="D1209" s="116" t="s">
        <v>170</v>
      </c>
      <c r="E1209" s="117"/>
      <c r="F1209" s="132"/>
      <c r="G1209" s="113">
        <f>SUM(F1207:F1208)</f>
        <v>11070.82</v>
      </c>
      <c r="H1209" s="91"/>
    </row>
    <row r="1210" spans="1:8" ht="15" thickBot="1" x14ac:dyDescent="0.35">
      <c r="C1210" s="80"/>
      <c r="D1210" s="125"/>
      <c r="E1210" s="78"/>
      <c r="F1210" s="78"/>
      <c r="G1210" s="117"/>
    </row>
    <row r="1211" spans="1:8" ht="15.6" thickTop="1" thickBot="1" x14ac:dyDescent="0.35">
      <c r="C1211" s="80"/>
      <c r="D1211" s="125" t="s">
        <v>171</v>
      </c>
      <c r="E1211" s="78"/>
      <c r="F1211" s="78"/>
      <c r="G1211" s="135">
        <f>SUM(G1202:G1209)</f>
        <v>26808.68</v>
      </c>
      <c r="H1211" s="136"/>
    </row>
    <row r="1212" spans="1:8" ht="15" thickTop="1" x14ac:dyDescent="0.3">
      <c r="C1212" s="80"/>
      <c r="D1212" s="125"/>
      <c r="E1212" s="78"/>
      <c r="F1212" s="78"/>
      <c r="G1212" s="137"/>
    </row>
    <row r="1213" spans="1:8" ht="15.6" x14ac:dyDescent="0.3">
      <c r="A1213" s="79" t="s">
        <v>128</v>
      </c>
      <c r="B1213" s="81" t="s">
        <v>257</v>
      </c>
      <c r="C1213" s="80"/>
      <c r="D1213" s="125"/>
      <c r="E1213" s="78"/>
      <c r="F1213" s="78"/>
      <c r="G1213" s="78"/>
    </row>
    <row r="1214" spans="1:8" ht="15.6" x14ac:dyDescent="0.3">
      <c r="A1214" s="79" t="s">
        <v>130</v>
      </c>
      <c r="B1214" s="81" t="s">
        <v>202</v>
      </c>
      <c r="C1214" s="80"/>
      <c r="D1214" s="125"/>
      <c r="E1214" s="78"/>
      <c r="F1214" s="78"/>
      <c r="G1214" s="78"/>
    </row>
    <row r="1215" spans="1:8" x14ac:dyDescent="0.3">
      <c r="C1215" s="80"/>
      <c r="D1215" s="125"/>
      <c r="E1215" s="78"/>
      <c r="F1215" s="78"/>
      <c r="G1215" s="78"/>
    </row>
    <row r="1216" spans="1:8" ht="15" thickBot="1" x14ac:dyDescent="0.35">
      <c r="A1216" s="79" t="s">
        <v>161</v>
      </c>
      <c r="C1216" s="80"/>
      <c r="D1216" s="125"/>
      <c r="E1216" s="78"/>
      <c r="F1216" s="78"/>
      <c r="G1216" s="78"/>
    </row>
    <row r="1217" spans="1:8" ht="15" thickTop="1" x14ac:dyDescent="0.3">
      <c r="A1217" s="84" t="s">
        <v>3</v>
      </c>
      <c r="B1217" s="85" t="s">
        <v>135</v>
      </c>
      <c r="C1217" s="86" t="s">
        <v>5</v>
      </c>
      <c r="D1217" s="87" t="s">
        <v>6</v>
      </c>
      <c r="E1217" s="88" t="s">
        <v>28</v>
      </c>
      <c r="F1217" s="88" t="s">
        <v>28</v>
      </c>
      <c r="G1217" s="89"/>
    </row>
    <row r="1218" spans="1:8" ht="15" thickBot="1" x14ac:dyDescent="0.35">
      <c r="A1218" s="90"/>
      <c r="B1218" s="91"/>
      <c r="C1218" s="92"/>
      <c r="D1218" s="93"/>
      <c r="E1218" s="94" t="s">
        <v>11</v>
      </c>
      <c r="F1218" s="94" t="s">
        <v>10</v>
      </c>
      <c r="G1218" s="89"/>
    </row>
    <row r="1219" spans="1:8" ht="15" thickTop="1" x14ac:dyDescent="0.3">
      <c r="A1219" s="95"/>
      <c r="B1219" s="95" t="str">
        <f>LISTA!$C$10</f>
        <v>Cemento</v>
      </c>
      <c r="C1219" s="126" t="str">
        <f>LISTA!$E$10</f>
        <v>Kg</v>
      </c>
      <c r="D1219" s="127">
        <f>300*0.1*0.15</f>
        <v>4.5</v>
      </c>
      <c r="E1219" s="134">
        <f>LISTA!$F$10</f>
        <v>6.15</v>
      </c>
      <c r="F1219" s="134">
        <f>ROUND(D1219*E1219,2)</f>
        <v>27.68</v>
      </c>
      <c r="G1219" s="100"/>
    </row>
    <row r="1220" spans="1:8" x14ac:dyDescent="0.3">
      <c r="A1220" s="102"/>
      <c r="B1220" s="102" t="str">
        <f>LISTA!$C$11</f>
        <v xml:space="preserve">Arena </v>
      </c>
      <c r="C1220" s="108" t="str">
        <f>LISTA!$E$11</f>
        <v>M3</v>
      </c>
      <c r="D1220" s="109">
        <f>0.65*0.1*0.15</f>
        <v>9.75E-3</v>
      </c>
      <c r="E1220" s="100">
        <f>LISTA!$F$11</f>
        <v>2890</v>
      </c>
      <c r="F1220" s="100">
        <f>ROUND(D1220*E1220,2)</f>
        <v>28.18</v>
      </c>
      <c r="G1220" s="100"/>
    </row>
    <row r="1221" spans="1:8" x14ac:dyDescent="0.3">
      <c r="A1221" s="102"/>
      <c r="B1221" s="102" t="str">
        <f>LISTA!$C$94</f>
        <v>Umbrales y solias de granito reconstituido</v>
      </c>
      <c r="C1221" s="108" t="str">
        <f>LISTA!$E$94</f>
        <v>M2</v>
      </c>
      <c r="D1221" s="109">
        <v>1</v>
      </c>
      <c r="E1221" s="100">
        <f>LISTA!$F$94</f>
        <v>6500</v>
      </c>
      <c r="F1221" s="100">
        <f>ROUND(D1221*E1221,2)</f>
        <v>6500</v>
      </c>
      <c r="G1221" s="100"/>
    </row>
    <row r="1222" spans="1:8" x14ac:dyDescent="0.3">
      <c r="A1222" s="102"/>
      <c r="B1222" s="102"/>
      <c r="C1222" s="108"/>
      <c r="D1222" s="109"/>
      <c r="E1222" s="100"/>
      <c r="F1222" s="100"/>
      <c r="G1222" s="100"/>
    </row>
    <row r="1223" spans="1:8" x14ac:dyDescent="0.3">
      <c r="A1223" s="102"/>
      <c r="B1223" s="102"/>
      <c r="C1223" s="108"/>
      <c r="D1223" s="109"/>
      <c r="E1223" s="100"/>
      <c r="F1223" s="100"/>
      <c r="G1223" s="100"/>
    </row>
    <row r="1224" spans="1:8" x14ac:dyDescent="0.3">
      <c r="A1224" s="114"/>
      <c r="B1224" s="114"/>
      <c r="C1224" s="115"/>
      <c r="D1224" s="116" t="s">
        <v>165</v>
      </c>
      <c r="E1224" s="117"/>
      <c r="F1224" s="132"/>
      <c r="G1224" s="113">
        <f>SUM(F1219:F1223)</f>
        <v>6555.86</v>
      </c>
      <c r="H1224" s="91"/>
    </row>
    <row r="1225" spans="1:8" x14ac:dyDescent="0.3">
      <c r="C1225" s="80"/>
      <c r="D1225" s="125"/>
      <c r="E1225" s="78"/>
      <c r="F1225" s="78"/>
      <c r="G1225" s="117"/>
    </row>
    <row r="1226" spans="1:8" ht="15" thickBot="1" x14ac:dyDescent="0.35">
      <c r="A1226" s="79" t="s">
        <v>166</v>
      </c>
      <c r="C1226" s="80"/>
      <c r="D1226" s="125"/>
      <c r="E1226" s="78"/>
      <c r="F1226" s="78"/>
      <c r="G1226" s="78"/>
    </row>
    <row r="1227" spans="1:8" ht="15" thickTop="1" x14ac:dyDescent="0.3">
      <c r="A1227" s="84" t="s">
        <v>3</v>
      </c>
      <c r="B1227" s="85" t="s">
        <v>135</v>
      </c>
      <c r="C1227" s="86" t="s">
        <v>5</v>
      </c>
      <c r="D1227" s="87" t="s">
        <v>6</v>
      </c>
      <c r="E1227" s="88" t="s">
        <v>28</v>
      </c>
      <c r="F1227" s="88" t="s">
        <v>28</v>
      </c>
      <c r="G1227" s="89"/>
    </row>
    <row r="1228" spans="1:8" ht="15" thickBot="1" x14ac:dyDescent="0.35">
      <c r="A1228" s="90"/>
      <c r="B1228" s="91"/>
      <c r="C1228" s="92"/>
      <c r="D1228" s="93"/>
      <c r="E1228" s="94" t="s">
        <v>11</v>
      </c>
      <c r="F1228" s="94" t="s">
        <v>10</v>
      </c>
      <c r="G1228" s="89"/>
    </row>
    <row r="1229" spans="1:8" ht="15" thickTop="1" x14ac:dyDescent="0.3">
      <c r="A1229" s="95"/>
      <c r="B1229" s="95" t="s">
        <v>167</v>
      </c>
      <c r="C1229" s="126" t="s">
        <v>168</v>
      </c>
      <c r="D1229" s="127">
        <v>6</v>
      </c>
      <c r="E1229" s="134">
        <f>$F$22</f>
        <v>1238.96</v>
      </c>
      <c r="F1229" s="134">
        <f>ROUND(D1229*E1229,2)</f>
        <v>7433.76</v>
      </c>
      <c r="G1229" s="100"/>
    </row>
    <row r="1230" spans="1:8" x14ac:dyDescent="0.3">
      <c r="A1230" s="102"/>
      <c r="B1230" s="102" t="s">
        <v>169</v>
      </c>
      <c r="C1230" s="108" t="s">
        <v>168</v>
      </c>
      <c r="D1230" s="109">
        <v>3</v>
      </c>
      <c r="E1230" s="100">
        <f>$F$39</f>
        <v>386.38</v>
      </c>
      <c r="F1230" s="100">
        <f>ROUND(D1230*E1230,2)</f>
        <v>1159.1400000000001</v>
      </c>
      <c r="G1230" s="100"/>
    </row>
    <row r="1231" spans="1:8" x14ac:dyDescent="0.3">
      <c r="A1231" s="114"/>
      <c r="B1231" s="114"/>
      <c r="C1231" s="115"/>
      <c r="D1231" s="116" t="s">
        <v>170</v>
      </c>
      <c r="E1231" s="117"/>
      <c r="F1231" s="132"/>
      <c r="G1231" s="113">
        <f>SUM(F1229:F1230)</f>
        <v>8592.9</v>
      </c>
      <c r="H1231" s="91"/>
    </row>
    <row r="1232" spans="1:8" ht="15" thickBot="1" x14ac:dyDescent="0.35">
      <c r="C1232" s="80"/>
      <c r="D1232" s="125"/>
      <c r="E1232" s="78"/>
      <c r="F1232" s="78"/>
      <c r="G1232" s="117"/>
    </row>
    <row r="1233" spans="1:8" ht="15.6" thickTop="1" thickBot="1" x14ac:dyDescent="0.35">
      <c r="C1233" s="80"/>
      <c r="D1233" s="125" t="s">
        <v>171</v>
      </c>
      <c r="E1233" s="78"/>
      <c r="F1233" s="78"/>
      <c r="G1233" s="135">
        <f>SUM(G1224:G1231)</f>
        <v>15148.759999999998</v>
      </c>
      <c r="H1233" s="136"/>
    </row>
    <row r="1234" spans="1:8" ht="15" thickTop="1" x14ac:dyDescent="0.3">
      <c r="C1234" s="80"/>
      <c r="D1234" s="125"/>
      <c r="E1234" s="78"/>
      <c r="F1234" s="78"/>
      <c r="G1234" s="137"/>
    </row>
    <row r="1235" spans="1:8" ht="15.6" x14ac:dyDescent="0.3">
      <c r="A1235" s="79" t="s">
        <v>128</v>
      </c>
      <c r="B1235" s="81" t="s">
        <v>258</v>
      </c>
      <c r="C1235" s="80"/>
      <c r="D1235" s="125"/>
      <c r="E1235" s="78"/>
      <c r="F1235" s="78"/>
      <c r="G1235" s="78"/>
    </row>
    <row r="1236" spans="1:8" ht="15.6" x14ac:dyDescent="0.3">
      <c r="A1236" s="79" t="s">
        <v>130</v>
      </c>
      <c r="B1236" s="81" t="s">
        <v>202</v>
      </c>
      <c r="C1236" s="80"/>
      <c r="D1236" s="125"/>
      <c r="E1236" s="78"/>
      <c r="F1236" s="78"/>
      <c r="G1236" s="78"/>
    </row>
    <row r="1237" spans="1:8" x14ac:dyDescent="0.3">
      <c r="C1237" s="80"/>
      <c r="D1237" s="125"/>
      <c r="E1237" s="78"/>
      <c r="F1237" s="78"/>
      <c r="G1237" s="78"/>
    </row>
    <row r="1238" spans="1:8" ht="15" thickBot="1" x14ac:dyDescent="0.35">
      <c r="A1238" s="79" t="s">
        <v>161</v>
      </c>
      <c r="C1238" s="80"/>
      <c r="D1238" s="125"/>
      <c r="E1238" s="78"/>
      <c r="F1238" s="78"/>
      <c r="G1238" s="78"/>
    </row>
    <row r="1239" spans="1:8" ht="15" thickTop="1" x14ac:dyDescent="0.3">
      <c r="A1239" s="84" t="s">
        <v>3</v>
      </c>
      <c r="B1239" s="85" t="s">
        <v>135</v>
      </c>
      <c r="C1239" s="86" t="s">
        <v>5</v>
      </c>
      <c r="D1239" s="87" t="s">
        <v>6</v>
      </c>
      <c r="E1239" s="88" t="s">
        <v>28</v>
      </c>
      <c r="F1239" s="88" t="s">
        <v>28</v>
      </c>
      <c r="G1239" s="89"/>
    </row>
    <row r="1240" spans="1:8" ht="15" thickBot="1" x14ac:dyDescent="0.35">
      <c r="A1240" s="90"/>
      <c r="B1240" s="91"/>
      <c r="C1240" s="92"/>
      <c r="D1240" s="93"/>
      <c r="E1240" s="94" t="s">
        <v>11</v>
      </c>
      <c r="F1240" s="94" t="s">
        <v>10</v>
      </c>
      <c r="G1240" s="89"/>
    </row>
    <row r="1241" spans="1:8" ht="15" thickTop="1" x14ac:dyDescent="0.3">
      <c r="A1241" s="95"/>
      <c r="B1241" s="95" t="str">
        <f>LISTA!$C$21</f>
        <v>Pintura asfáltica</v>
      </c>
      <c r="C1241" s="126" t="str">
        <f>LISTA!E$21</f>
        <v>Kg</v>
      </c>
      <c r="D1241" s="127">
        <v>1.1000000000000001</v>
      </c>
      <c r="E1241" s="134">
        <f>LISTA!F$21</f>
        <v>1080</v>
      </c>
      <c r="F1241" s="134">
        <f>ROUND(D1241*E1241,2)</f>
        <v>1188</v>
      </c>
      <c r="G1241" s="100"/>
    </row>
    <row r="1242" spans="1:8" x14ac:dyDescent="0.3">
      <c r="A1242" s="102"/>
      <c r="B1242" s="102"/>
      <c r="C1242" s="108"/>
      <c r="D1242" s="109"/>
      <c r="E1242" s="100"/>
      <c r="F1242" s="100"/>
      <c r="G1242" s="100"/>
    </row>
    <row r="1243" spans="1:8" x14ac:dyDescent="0.3">
      <c r="A1243" s="114"/>
      <c r="B1243" s="114"/>
      <c r="C1243" s="115"/>
      <c r="D1243" s="116" t="s">
        <v>165</v>
      </c>
      <c r="E1243" s="117"/>
      <c r="F1243" s="132"/>
      <c r="G1243" s="113">
        <f>SUM(F1241:F1242)</f>
        <v>1188</v>
      </c>
      <c r="H1243" s="91"/>
    </row>
    <row r="1244" spans="1:8" x14ac:dyDescent="0.3">
      <c r="C1244" s="80"/>
      <c r="D1244" s="125"/>
      <c r="E1244" s="78"/>
      <c r="F1244" s="78"/>
      <c r="G1244" s="117"/>
    </row>
    <row r="1245" spans="1:8" ht="15" thickBot="1" x14ac:dyDescent="0.35">
      <c r="A1245" s="79" t="s">
        <v>166</v>
      </c>
      <c r="C1245" s="80"/>
      <c r="D1245" s="125"/>
      <c r="E1245" s="78"/>
      <c r="F1245" s="78"/>
      <c r="G1245" s="78"/>
    </row>
    <row r="1246" spans="1:8" ht="15" thickTop="1" x14ac:dyDescent="0.3">
      <c r="A1246" s="84" t="s">
        <v>3</v>
      </c>
      <c r="B1246" s="85" t="s">
        <v>135</v>
      </c>
      <c r="C1246" s="86" t="s">
        <v>5</v>
      </c>
      <c r="D1246" s="87" t="s">
        <v>6</v>
      </c>
      <c r="E1246" s="88" t="s">
        <v>28</v>
      </c>
      <c r="F1246" s="88" t="s">
        <v>28</v>
      </c>
      <c r="G1246" s="89"/>
    </row>
    <row r="1247" spans="1:8" ht="15" thickBot="1" x14ac:dyDescent="0.35">
      <c r="A1247" s="90"/>
      <c r="B1247" s="91"/>
      <c r="C1247" s="92"/>
      <c r="D1247" s="93"/>
      <c r="E1247" s="94" t="s">
        <v>11</v>
      </c>
      <c r="F1247" s="94" t="s">
        <v>10</v>
      </c>
      <c r="G1247" s="89"/>
    </row>
    <row r="1248" spans="1:8" ht="15" thickTop="1" x14ac:dyDescent="0.3">
      <c r="A1248" s="95"/>
      <c r="B1248" s="95" t="s">
        <v>167</v>
      </c>
      <c r="C1248" s="126" t="s">
        <v>168</v>
      </c>
      <c r="D1248" s="127">
        <v>0.2</v>
      </c>
      <c r="E1248" s="134">
        <f>$F$22</f>
        <v>1238.96</v>
      </c>
      <c r="F1248" s="134">
        <f>ROUND(D1248*E1248,2)</f>
        <v>247.79</v>
      </c>
      <c r="G1248" s="100"/>
    </row>
    <row r="1249" spans="1:8" x14ac:dyDescent="0.3">
      <c r="A1249" s="102"/>
      <c r="B1249" s="102" t="s">
        <v>169</v>
      </c>
      <c r="C1249" s="108" t="s">
        <v>168</v>
      </c>
      <c r="D1249" s="109"/>
      <c r="E1249" s="100">
        <f>$F$39</f>
        <v>386.38</v>
      </c>
      <c r="F1249" s="100">
        <f>ROUND(D1249*E1249,2)</f>
        <v>0</v>
      </c>
      <c r="G1249" s="100"/>
    </row>
    <row r="1250" spans="1:8" x14ac:dyDescent="0.3">
      <c r="A1250" s="114"/>
      <c r="B1250" s="114"/>
      <c r="C1250" s="115"/>
      <c r="D1250" s="116" t="s">
        <v>170</v>
      </c>
      <c r="E1250" s="117"/>
      <c r="F1250" s="132"/>
      <c r="G1250" s="113">
        <f>SUM(F1248:F1249)</f>
        <v>247.79</v>
      </c>
      <c r="H1250" s="91"/>
    </row>
    <row r="1251" spans="1:8" ht="15" thickBot="1" x14ac:dyDescent="0.35">
      <c r="C1251" s="80"/>
      <c r="D1251" s="125"/>
      <c r="E1251" s="78"/>
      <c r="F1251" s="78"/>
      <c r="G1251" s="117"/>
    </row>
    <row r="1252" spans="1:8" ht="15.6" thickTop="1" thickBot="1" x14ac:dyDescent="0.35">
      <c r="C1252" s="80"/>
      <c r="D1252" s="125" t="s">
        <v>171</v>
      </c>
      <c r="E1252" s="78"/>
      <c r="F1252" s="78"/>
      <c r="G1252" s="135">
        <f>SUM(G1243:G1250)</f>
        <v>1435.79</v>
      </c>
      <c r="H1252" s="136"/>
    </row>
    <row r="1253" spans="1:8" ht="15" thickTop="1" x14ac:dyDescent="0.3">
      <c r="C1253" s="80"/>
      <c r="D1253" s="125"/>
      <c r="E1253" s="78"/>
      <c r="F1253" s="78"/>
      <c r="G1253" s="137"/>
    </row>
    <row r="1254" spans="1:8" ht="15.6" x14ac:dyDescent="0.3">
      <c r="A1254" s="79" t="s">
        <v>128</v>
      </c>
      <c r="B1254" s="81" t="s">
        <v>259</v>
      </c>
      <c r="C1254" s="80"/>
      <c r="D1254" s="125"/>
      <c r="E1254" s="78"/>
      <c r="F1254" s="78"/>
      <c r="G1254" s="78"/>
    </row>
    <row r="1255" spans="1:8" ht="15.6" x14ac:dyDescent="0.3">
      <c r="A1255" s="79" t="s">
        <v>130</v>
      </c>
      <c r="B1255" s="81" t="s">
        <v>202</v>
      </c>
      <c r="C1255" s="80"/>
      <c r="D1255" s="125"/>
      <c r="E1255" s="78"/>
      <c r="F1255" s="78"/>
      <c r="G1255" s="78"/>
    </row>
    <row r="1256" spans="1:8" x14ac:dyDescent="0.3">
      <c r="C1256" s="80"/>
      <c r="D1256" s="125"/>
      <c r="E1256" s="78"/>
      <c r="F1256" s="78"/>
      <c r="G1256" s="78"/>
    </row>
    <row r="1257" spans="1:8" ht="15" thickBot="1" x14ac:dyDescent="0.35">
      <c r="A1257" s="79" t="s">
        <v>161</v>
      </c>
      <c r="C1257" s="80"/>
      <c r="D1257" s="125"/>
      <c r="E1257" s="78"/>
      <c r="F1257" s="78"/>
      <c r="G1257" s="78"/>
    </row>
    <row r="1258" spans="1:8" ht="15" thickTop="1" x14ac:dyDescent="0.3">
      <c r="A1258" s="84" t="s">
        <v>3</v>
      </c>
      <c r="B1258" s="85" t="s">
        <v>135</v>
      </c>
      <c r="C1258" s="86" t="s">
        <v>5</v>
      </c>
      <c r="D1258" s="87" t="s">
        <v>6</v>
      </c>
      <c r="E1258" s="88" t="s">
        <v>28</v>
      </c>
      <c r="F1258" s="88" t="s">
        <v>28</v>
      </c>
      <c r="G1258" s="89"/>
    </row>
    <row r="1259" spans="1:8" ht="15" thickBot="1" x14ac:dyDescent="0.35">
      <c r="A1259" s="90"/>
      <c r="B1259" s="91"/>
      <c r="C1259" s="92"/>
      <c r="D1259" s="93"/>
      <c r="E1259" s="94" t="s">
        <v>11</v>
      </c>
      <c r="F1259" s="94" t="s">
        <v>10</v>
      </c>
      <c r="G1259" s="89"/>
    </row>
    <row r="1260" spans="1:8" ht="15" thickTop="1" x14ac:dyDescent="0.3">
      <c r="A1260" s="95"/>
      <c r="B1260" s="95" t="str">
        <f>LISTA!$C$90</f>
        <v>Alum Air 10 mm</v>
      </c>
      <c r="C1260" s="126" t="str">
        <f>LISTA!E$90</f>
        <v>M2</v>
      </c>
      <c r="D1260" s="127">
        <v>1.1000000000000001</v>
      </c>
      <c r="E1260" s="134">
        <f>LISTA!F$90</f>
        <v>3200</v>
      </c>
      <c r="F1260" s="134">
        <f>ROUND(D1260*E1260,2)</f>
        <v>3520</v>
      </c>
      <c r="G1260" s="100"/>
    </row>
    <row r="1261" spans="1:8" x14ac:dyDescent="0.3">
      <c r="A1261" s="102"/>
      <c r="B1261" s="102" t="str">
        <f>+LISTA!C43</f>
        <v>Alambre Galvanizado Nº 13</v>
      </c>
      <c r="C1261" s="108" t="str">
        <f>+LISTA!E43</f>
        <v>Kg</v>
      </c>
      <c r="D1261" s="109">
        <v>0.25</v>
      </c>
      <c r="E1261" s="100">
        <f>+LISTA!F43</f>
        <v>1800</v>
      </c>
      <c r="F1261" s="100">
        <f>+D1261*E1261</f>
        <v>450</v>
      </c>
      <c r="G1261" s="100"/>
    </row>
    <row r="1262" spans="1:8" x14ac:dyDescent="0.3">
      <c r="A1262" s="114"/>
      <c r="B1262" s="114"/>
      <c r="C1262" s="115"/>
      <c r="D1262" s="116" t="s">
        <v>165</v>
      </c>
      <c r="E1262" s="117"/>
      <c r="F1262" s="132"/>
      <c r="G1262" s="113">
        <f>SUM(F1260:F1261)</f>
        <v>3970</v>
      </c>
      <c r="H1262" s="91"/>
    </row>
    <row r="1263" spans="1:8" x14ac:dyDescent="0.3">
      <c r="C1263" s="80"/>
      <c r="D1263" s="125"/>
      <c r="E1263" s="78"/>
      <c r="F1263" s="78"/>
      <c r="G1263" s="117"/>
    </row>
    <row r="1264" spans="1:8" ht="15" thickBot="1" x14ac:dyDescent="0.35">
      <c r="A1264" s="79" t="s">
        <v>166</v>
      </c>
      <c r="C1264" s="80"/>
      <c r="D1264" s="125"/>
      <c r="E1264" s="78"/>
      <c r="F1264" s="78"/>
      <c r="G1264" s="78"/>
    </row>
    <row r="1265" spans="1:8" ht="15" thickTop="1" x14ac:dyDescent="0.3">
      <c r="A1265" s="84" t="s">
        <v>3</v>
      </c>
      <c r="B1265" s="85" t="s">
        <v>135</v>
      </c>
      <c r="C1265" s="86" t="s">
        <v>5</v>
      </c>
      <c r="D1265" s="87" t="s">
        <v>6</v>
      </c>
      <c r="E1265" s="88" t="s">
        <v>28</v>
      </c>
      <c r="F1265" s="88" t="s">
        <v>28</v>
      </c>
      <c r="G1265" s="89"/>
    </row>
    <row r="1266" spans="1:8" ht="15" thickBot="1" x14ac:dyDescent="0.35">
      <c r="A1266" s="90"/>
      <c r="B1266" s="91"/>
      <c r="C1266" s="92"/>
      <c r="D1266" s="93"/>
      <c r="E1266" s="94" t="s">
        <v>11</v>
      </c>
      <c r="F1266" s="94" t="s">
        <v>10</v>
      </c>
      <c r="G1266" s="89"/>
    </row>
    <row r="1267" spans="1:8" ht="15" thickTop="1" x14ac:dyDescent="0.3">
      <c r="A1267" s="95"/>
      <c r="B1267" s="95" t="s">
        <v>167</v>
      </c>
      <c r="C1267" s="126" t="s">
        <v>168</v>
      </c>
      <c r="D1267" s="127">
        <v>0.5</v>
      </c>
      <c r="E1267" s="134">
        <f>$F$22</f>
        <v>1238.96</v>
      </c>
      <c r="F1267" s="134">
        <f>ROUND(D1267*E1267,2)</f>
        <v>619.48</v>
      </c>
      <c r="G1267" s="100"/>
    </row>
    <row r="1268" spans="1:8" x14ac:dyDescent="0.3">
      <c r="A1268" s="102"/>
      <c r="B1268" s="102" t="s">
        <v>169</v>
      </c>
      <c r="C1268" s="108" t="s">
        <v>168</v>
      </c>
      <c r="D1268" s="109"/>
      <c r="E1268" s="100">
        <f>$F$39</f>
        <v>386.38</v>
      </c>
      <c r="F1268" s="100">
        <f>ROUND(D1268*E1268,2)</f>
        <v>0</v>
      </c>
      <c r="G1268" s="100"/>
    </row>
    <row r="1269" spans="1:8" x14ac:dyDescent="0.3">
      <c r="A1269" s="114"/>
      <c r="B1269" s="114"/>
      <c r="C1269" s="115"/>
      <c r="D1269" s="116" t="s">
        <v>170</v>
      </c>
      <c r="E1269" s="117"/>
      <c r="F1269" s="132"/>
      <c r="G1269" s="113">
        <f>SUM(F1267:F1268)</f>
        <v>619.48</v>
      </c>
      <c r="H1269" s="91"/>
    </row>
    <row r="1270" spans="1:8" ht="15" thickBot="1" x14ac:dyDescent="0.35">
      <c r="C1270" s="80"/>
      <c r="D1270" s="125"/>
      <c r="E1270" s="78"/>
      <c r="F1270" s="78"/>
      <c r="G1270" s="117"/>
    </row>
    <row r="1271" spans="1:8" ht="15.6" thickTop="1" thickBot="1" x14ac:dyDescent="0.35">
      <c r="C1271" s="80"/>
      <c r="D1271" s="125" t="s">
        <v>171</v>
      </c>
      <c r="E1271" s="78"/>
      <c r="F1271" s="78"/>
      <c r="G1271" s="135">
        <f>SUM(G1262:G1269)</f>
        <v>4589.4799999999996</v>
      </c>
      <c r="H1271" s="136"/>
    </row>
    <row r="1272" spans="1:8" ht="15" thickTop="1" x14ac:dyDescent="0.3">
      <c r="C1272" s="80"/>
      <c r="D1272" s="125"/>
      <c r="E1272" s="78"/>
      <c r="F1272" s="78"/>
      <c r="G1272" s="137"/>
    </row>
    <row r="1273" spans="1:8" ht="15.6" x14ac:dyDescent="0.3">
      <c r="A1273" s="79" t="s">
        <v>128</v>
      </c>
      <c r="B1273" s="81" t="s">
        <v>260</v>
      </c>
      <c r="C1273" s="80"/>
      <c r="D1273" s="125"/>
      <c r="E1273" s="78"/>
      <c r="F1273" s="78"/>
      <c r="G1273" s="78"/>
    </row>
    <row r="1274" spans="1:8" ht="15.6" x14ac:dyDescent="0.3">
      <c r="A1274" s="79" t="s">
        <v>130</v>
      </c>
      <c r="B1274" s="81" t="s">
        <v>202</v>
      </c>
      <c r="C1274" s="80"/>
      <c r="D1274" s="125"/>
      <c r="E1274" s="78"/>
      <c r="F1274" s="78"/>
      <c r="G1274" s="78"/>
    </row>
    <row r="1275" spans="1:8" x14ac:dyDescent="0.3">
      <c r="C1275" s="80"/>
      <c r="D1275" s="125"/>
      <c r="E1275" s="78"/>
      <c r="F1275" s="78"/>
      <c r="G1275" s="78"/>
    </row>
    <row r="1276" spans="1:8" ht="15" thickBot="1" x14ac:dyDescent="0.35">
      <c r="A1276" s="79" t="s">
        <v>161</v>
      </c>
      <c r="C1276" s="80"/>
      <c r="D1276" s="125"/>
      <c r="E1276" s="78"/>
      <c r="F1276" s="78"/>
      <c r="G1276" s="78"/>
    </row>
    <row r="1277" spans="1:8" ht="15" thickTop="1" x14ac:dyDescent="0.3">
      <c r="A1277" s="84" t="s">
        <v>3</v>
      </c>
      <c r="B1277" s="85" t="s">
        <v>135</v>
      </c>
      <c r="C1277" s="86" t="s">
        <v>5</v>
      </c>
      <c r="D1277" s="87" t="s">
        <v>6</v>
      </c>
      <c r="E1277" s="88" t="s">
        <v>28</v>
      </c>
      <c r="F1277" s="88" t="s">
        <v>28</v>
      </c>
      <c r="G1277" s="89"/>
    </row>
    <row r="1278" spans="1:8" ht="15" thickBot="1" x14ac:dyDescent="0.35">
      <c r="A1278" s="90"/>
      <c r="B1278" s="91"/>
      <c r="C1278" s="92"/>
      <c r="D1278" s="93"/>
      <c r="E1278" s="94" t="s">
        <v>11</v>
      </c>
      <c r="F1278" s="94" t="s">
        <v>10</v>
      </c>
      <c r="G1278" s="89"/>
    </row>
    <row r="1279" spans="1:8" ht="15" thickTop="1" x14ac:dyDescent="0.3">
      <c r="A1279" s="95"/>
      <c r="B1279" s="95" t="str">
        <f>LISTA!$C$21</f>
        <v>Pintura asfáltica</v>
      </c>
      <c r="C1279" s="126" t="str">
        <f>LISTA!E$21</f>
        <v>Kg</v>
      </c>
      <c r="D1279" s="127">
        <v>0.5</v>
      </c>
      <c r="E1279" s="134">
        <f>LISTA!F$21</f>
        <v>1080</v>
      </c>
      <c r="F1279" s="134">
        <f>ROUND(D1279*E1279,2)</f>
        <v>540</v>
      </c>
      <c r="G1279" s="100"/>
    </row>
    <row r="1280" spans="1:8" x14ac:dyDescent="0.3">
      <c r="A1280" s="102"/>
      <c r="B1280" s="102" t="s">
        <v>261</v>
      </c>
      <c r="C1280" s="108" t="str">
        <f>+LISTA!E89</f>
        <v>M2</v>
      </c>
      <c r="D1280" s="109">
        <v>1</v>
      </c>
      <c r="E1280" s="100">
        <f>+G749</f>
        <v>1322.26</v>
      </c>
      <c r="F1280" s="100">
        <f>+D1280*E1280</f>
        <v>1322.26</v>
      </c>
      <c r="G1280" s="100"/>
    </row>
    <row r="1281" spans="1:8" x14ac:dyDescent="0.3">
      <c r="A1281" s="102"/>
      <c r="B1281" s="102" t="s">
        <v>262</v>
      </c>
      <c r="C1281" s="108" t="s">
        <v>0</v>
      </c>
      <c r="D1281" s="109">
        <v>1</v>
      </c>
      <c r="E1281" s="100">
        <f>+G903</f>
        <v>1974.8</v>
      </c>
      <c r="F1281" s="100">
        <f>+D1281*E1281</f>
        <v>1974.8</v>
      </c>
      <c r="G1281" s="100"/>
    </row>
    <row r="1282" spans="1:8" x14ac:dyDescent="0.3">
      <c r="A1282" s="102"/>
      <c r="B1282" s="102" t="str">
        <f>+LISTA!C92</f>
        <v>Membrana asfáltica con Al de 4mm</v>
      </c>
      <c r="C1282" s="108" t="str">
        <f>+LISTA!E92</f>
        <v>M2</v>
      </c>
      <c r="D1282" s="109">
        <v>1.1000000000000001</v>
      </c>
      <c r="E1282" s="100">
        <f>+LISTA!F92</f>
        <v>5245</v>
      </c>
      <c r="F1282" s="100">
        <f>+D1282*E1282</f>
        <v>5769.5000000000009</v>
      </c>
      <c r="G1282" s="100"/>
    </row>
    <row r="1283" spans="1:8" x14ac:dyDescent="0.3">
      <c r="A1283" s="114"/>
      <c r="B1283" s="114"/>
      <c r="C1283" s="115"/>
      <c r="D1283" s="116" t="s">
        <v>165</v>
      </c>
      <c r="E1283" s="117"/>
      <c r="F1283" s="132"/>
      <c r="G1283" s="113">
        <f>SUM(F1279:F1282)</f>
        <v>9606.5600000000013</v>
      </c>
      <c r="H1283" s="91"/>
    </row>
    <row r="1284" spans="1:8" x14ac:dyDescent="0.3">
      <c r="C1284" s="80"/>
      <c r="D1284" s="125"/>
      <c r="E1284" s="78"/>
      <c r="F1284" s="78"/>
      <c r="G1284" s="117"/>
    </row>
    <row r="1285" spans="1:8" ht="15" thickBot="1" x14ac:dyDescent="0.35">
      <c r="A1285" s="79" t="s">
        <v>166</v>
      </c>
      <c r="C1285" s="80"/>
      <c r="D1285" s="125"/>
      <c r="E1285" s="78"/>
      <c r="F1285" s="78"/>
      <c r="G1285" s="78"/>
    </row>
    <row r="1286" spans="1:8" ht="15" thickTop="1" x14ac:dyDescent="0.3">
      <c r="A1286" s="84" t="s">
        <v>3</v>
      </c>
      <c r="B1286" s="85" t="s">
        <v>135</v>
      </c>
      <c r="C1286" s="86" t="s">
        <v>5</v>
      </c>
      <c r="D1286" s="87" t="s">
        <v>6</v>
      </c>
      <c r="E1286" s="88" t="s">
        <v>28</v>
      </c>
      <c r="F1286" s="88" t="s">
        <v>28</v>
      </c>
      <c r="G1286" s="89"/>
    </row>
    <row r="1287" spans="1:8" ht="15" thickBot="1" x14ac:dyDescent="0.35">
      <c r="A1287" s="90"/>
      <c r="B1287" s="91"/>
      <c r="C1287" s="92"/>
      <c r="D1287" s="93"/>
      <c r="E1287" s="94" t="s">
        <v>11</v>
      </c>
      <c r="F1287" s="94" t="s">
        <v>10</v>
      </c>
      <c r="G1287" s="89"/>
    </row>
    <row r="1288" spans="1:8" ht="15" thickTop="1" x14ac:dyDescent="0.3">
      <c r="A1288" s="95"/>
      <c r="B1288" s="95" t="s">
        <v>167</v>
      </c>
      <c r="C1288" s="126" t="s">
        <v>168</v>
      </c>
      <c r="D1288" s="127">
        <v>1</v>
      </c>
      <c r="E1288" s="134">
        <f>$F$22</f>
        <v>1238.96</v>
      </c>
      <c r="F1288" s="134">
        <f>ROUND(D1288*E1288,2)</f>
        <v>1238.96</v>
      </c>
      <c r="G1288" s="100"/>
    </row>
    <row r="1289" spans="1:8" x14ac:dyDescent="0.3">
      <c r="A1289" s="102"/>
      <c r="B1289" s="102" t="s">
        <v>169</v>
      </c>
      <c r="C1289" s="108" t="s">
        <v>168</v>
      </c>
      <c r="D1289" s="109"/>
      <c r="E1289" s="100">
        <f>$F$39</f>
        <v>386.38</v>
      </c>
      <c r="F1289" s="100">
        <f>ROUND(D1289*E1289,2)</f>
        <v>0</v>
      </c>
      <c r="G1289" s="100"/>
    </row>
    <row r="1290" spans="1:8" x14ac:dyDescent="0.3">
      <c r="A1290" s="114"/>
      <c r="B1290" s="114"/>
      <c r="C1290" s="115"/>
      <c r="D1290" s="116" t="s">
        <v>170</v>
      </c>
      <c r="E1290" s="117"/>
      <c r="F1290" s="132"/>
      <c r="G1290" s="113">
        <f>SUM(F1288:F1289)</f>
        <v>1238.96</v>
      </c>
      <c r="H1290" s="91"/>
    </row>
    <row r="1291" spans="1:8" ht="15" thickBot="1" x14ac:dyDescent="0.35">
      <c r="C1291" s="80"/>
      <c r="D1291" s="125"/>
      <c r="E1291" s="78"/>
      <c r="F1291" s="78"/>
      <c r="G1291" s="117"/>
    </row>
    <row r="1292" spans="1:8" ht="15.6" thickTop="1" thickBot="1" x14ac:dyDescent="0.35">
      <c r="C1292" s="80"/>
      <c r="D1292" s="125" t="s">
        <v>171</v>
      </c>
      <c r="E1292" s="78"/>
      <c r="F1292" s="78"/>
      <c r="G1292" s="135">
        <f>SUM(G1283:G1290)</f>
        <v>10845.52</v>
      </c>
      <c r="H1292" s="136"/>
    </row>
    <row r="1293" spans="1:8" ht="15" thickTop="1" x14ac:dyDescent="0.3">
      <c r="C1293" s="80"/>
      <c r="D1293" s="125"/>
      <c r="E1293" s="78"/>
      <c r="F1293" s="78"/>
      <c r="G1293" s="137"/>
    </row>
    <row r="1294" spans="1:8" ht="15.6" x14ac:dyDescent="0.3">
      <c r="A1294" s="79" t="s">
        <v>128</v>
      </c>
      <c r="B1294" s="81" t="s">
        <v>263</v>
      </c>
      <c r="C1294" s="80"/>
      <c r="D1294" s="125"/>
      <c r="E1294" s="78"/>
      <c r="F1294" s="78"/>
      <c r="G1294" s="78"/>
    </row>
    <row r="1295" spans="1:8" ht="15.6" x14ac:dyDescent="0.3">
      <c r="A1295" s="79" t="s">
        <v>130</v>
      </c>
      <c r="B1295" s="81" t="s">
        <v>202</v>
      </c>
      <c r="C1295" s="80"/>
      <c r="D1295" s="125"/>
      <c r="E1295" s="78"/>
      <c r="F1295" s="78"/>
      <c r="G1295" s="78"/>
    </row>
    <row r="1296" spans="1:8" x14ac:dyDescent="0.3">
      <c r="C1296" s="80"/>
      <c r="D1296" s="125"/>
      <c r="E1296" s="78"/>
      <c r="F1296" s="78"/>
      <c r="G1296" s="78"/>
    </row>
    <row r="1297" spans="1:8" ht="15" thickBot="1" x14ac:dyDescent="0.35">
      <c r="A1297" s="79" t="s">
        <v>161</v>
      </c>
      <c r="C1297" s="80"/>
      <c r="D1297" s="125"/>
      <c r="E1297" s="78"/>
      <c r="F1297" s="78"/>
      <c r="G1297" s="78"/>
    </row>
    <row r="1298" spans="1:8" ht="15" thickTop="1" x14ac:dyDescent="0.3">
      <c r="A1298" s="84" t="s">
        <v>3</v>
      </c>
      <c r="B1298" s="85" t="s">
        <v>135</v>
      </c>
      <c r="C1298" s="86" t="s">
        <v>5</v>
      </c>
      <c r="D1298" s="87" t="s">
        <v>6</v>
      </c>
      <c r="E1298" s="88" t="s">
        <v>28</v>
      </c>
      <c r="F1298" s="88" t="s">
        <v>28</v>
      </c>
      <c r="G1298" s="89"/>
    </row>
    <row r="1299" spans="1:8" ht="15" thickBot="1" x14ac:dyDescent="0.35">
      <c r="A1299" s="90"/>
      <c r="B1299" s="91"/>
      <c r="C1299" s="92"/>
      <c r="D1299" s="93"/>
      <c r="E1299" s="94" t="s">
        <v>11</v>
      </c>
      <c r="F1299" s="94" t="s">
        <v>10</v>
      </c>
      <c r="G1299" s="89"/>
    </row>
    <row r="1300" spans="1:8" ht="15" thickTop="1" x14ac:dyDescent="0.3">
      <c r="A1300" s="95"/>
      <c r="B1300" s="95" t="str">
        <f>LISTA!$C$47</f>
        <v>Antióxido</v>
      </c>
      <c r="C1300" s="126" t="str">
        <f>LISTA!$E$47</f>
        <v>Lts</v>
      </c>
      <c r="D1300" s="127">
        <v>0.06</v>
      </c>
      <c r="E1300" s="134">
        <f>LISTA!$F$47</f>
        <v>1737</v>
      </c>
      <c r="F1300" s="134">
        <f>ROUND(D1300*E1300,2)</f>
        <v>104.22</v>
      </c>
      <c r="G1300" s="100"/>
    </row>
    <row r="1301" spans="1:8" x14ac:dyDescent="0.3">
      <c r="A1301" s="102"/>
      <c r="B1301" s="102" t="str">
        <f>LISTA!C$45</f>
        <v>Lijas y Accesorios</v>
      </c>
      <c r="C1301" s="108" t="str">
        <f>LISTA!E$45</f>
        <v>Gl</v>
      </c>
      <c r="D1301" s="109">
        <v>0.15</v>
      </c>
      <c r="E1301" s="130">
        <f>LISTA!F$45</f>
        <v>45</v>
      </c>
      <c r="F1301" s="100">
        <f>ROUND(D1301*E1301,2)</f>
        <v>6.75</v>
      </c>
      <c r="G1301" s="100"/>
    </row>
    <row r="1302" spans="1:8" x14ac:dyDescent="0.3">
      <c r="A1302" s="114"/>
      <c r="B1302" s="114"/>
      <c r="C1302" s="115"/>
      <c r="D1302" s="116" t="s">
        <v>165</v>
      </c>
      <c r="E1302" s="117"/>
      <c r="F1302" s="132"/>
      <c r="G1302" s="113">
        <f>SUM(F1300:F1301)</f>
        <v>110.97</v>
      </c>
      <c r="H1302" s="91"/>
    </row>
    <row r="1303" spans="1:8" ht="15" thickBot="1" x14ac:dyDescent="0.35">
      <c r="A1303" s="79" t="s">
        <v>166</v>
      </c>
      <c r="C1303" s="80"/>
      <c r="D1303" s="125"/>
      <c r="E1303" s="78"/>
      <c r="F1303" s="78"/>
      <c r="G1303" s="117"/>
    </row>
    <row r="1304" spans="1:8" ht="15" thickTop="1" x14ac:dyDescent="0.3">
      <c r="A1304" s="84" t="s">
        <v>3</v>
      </c>
      <c r="B1304" s="85" t="s">
        <v>135</v>
      </c>
      <c r="C1304" s="86" t="s">
        <v>5</v>
      </c>
      <c r="D1304" s="87" t="s">
        <v>6</v>
      </c>
      <c r="E1304" s="88" t="s">
        <v>28</v>
      </c>
      <c r="F1304" s="88" t="s">
        <v>28</v>
      </c>
      <c r="G1304" s="89"/>
    </row>
    <row r="1305" spans="1:8" ht="15" thickBot="1" x14ac:dyDescent="0.35">
      <c r="A1305" s="90"/>
      <c r="B1305" s="91"/>
      <c r="C1305" s="92"/>
      <c r="D1305" s="93"/>
      <c r="E1305" s="94" t="s">
        <v>11</v>
      </c>
      <c r="F1305" s="94" t="s">
        <v>10</v>
      </c>
      <c r="G1305" s="89"/>
    </row>
    <row r="1306" spans="1:8" ht="15" thickTop="1" x14ac:dyDescent="0.3">
      <c r="A1306" s="95"/>
      <c r="B1306" s="95" t="s">
        <v>167</v>
      </c>
      <c r="C1306" s="126" t="s">
        <v>168</v>
      </c>
      <c r="D1306" s="127">
        <v>0.2</v>
      </c>
      <c r="E1306" s="134">
        <f>$F$22*1.2</f>
        <v>1486.752</v>
      </c>
      <c r="F1306" s="134">
        <f>ROUND(D1306*E1306,2)</f>
        <v>297.35000000000002</v>
      </c>
      <c r="G1306" s="100"/>
    </row>
    <row r="1307" spans="1:8" x14ac:dyDescent="0.3">
      <c r="A1307" s="102"/>
      <c r="B1307" s="102" t="s">
        <v>221</v>
      </c>
      <c r="C1307" s="108" t="s">
        <v>168</v>
      </c>
      <c r="D1307" s="109">
        <v>0.05</v>
      </c>
      <c r="E1307" s="100">
        <f>$F$39</f>
        <v>386.38</v>
      </c>
      <c r="F1307" s="100">
        <f>ROUND(D1307*E1307,2)</f>
        <v>19.32</v>
      </c>
      <c r="G1307" s="100"/>
    </row>
    <row r="1308" spans="1:8" x14ac:dyDescent="0.3">
      <c r="A1308" s="114"/>
      <c r="B1308" s="114"/>
      <c r="C1308" s="115"/>
      <c r="D1308" s="116" t="s">
        <v>170</v>
      </c>
      <c r="E1308" s="117"/>
      <c r="F1308" s="132"/>
      <c r="G1308" s="113">
        <f>SUM(F1306:F1307)</f>
        <v>316.67</v>
      </c>
      <c r="H1308" s="91"/>
    </row>
    <row r="1309" spans="1:8" ht="15" thickBot="1" x14ac:dyDescent="0.35">
      <c r="C1309" s="80"/>
      <c r="D1309" s="125"/>
      <c r="E1309" s="78"/>
      <c r="F1309" s="78"/>
      <c r="G1309" s="117"/>
    </row>
    <row r="1310" spans="1:8" ht="15.6" thickTop="1" thickBot="1" x14ac:dyDescent="0.35">
      <c r="C1310" s="80"/>
      <c r="D1310" s="125" t="s">
        <v>171</v>
      </c>
      <c r="E1310" s="78"/>
      <c r="F1310" s="78"/>
      <c r="G1310" s="135">
        <f>SUM(G1302:G1308)</f>
        <v>427.64</v>
      </c>
      <c r="H1310" s="136"/>
    </row>
    <row r="1311" spans="1:8" ht="15" thickTop="1" x14ac:dyDescent="0.3">
      <c r="C1311" s="80"/>
      <c r="D1311" s="125"/>
      <c r="E1311" s="78"/>
      <c r="F1311" s="78"/>
      <c r="G1311" s="137"/>
    </row>
    <row r="1312" spans="1:8" ht="15.6" x14ac:dyDescent="0.3">
      <c r="A1312" s="79" t="s">
        <v>128</v>
      </c>
      <c r="B1312" s="81" t="s">
        <v>264</v>
      </c>
      <c r="C1312" s="80"/>
      <c r="D1312" s="125"/>
      <c r="E1312" s="78"/>
      <c r="F1312" s="78"/>
      <c r="G1312" s="78"/>
    </row>
    <row r="1313" spans="1:8" ht="15.6" x14ac:dyDescent="0.3">
      <c r="A1313" s="79" t="s">
        <v>130</v>
      </c>
      <c r="B1313" s="81" t="s">
        <v>202</v>
      </c>
      <c r="C1313" s="80"/>
      <c r="D1313" s="125"/>
      <c r="E1313" s="78"/>
      <c r="F1313" s="78"/>
      <c r="G1313" s="78"/>
    </row>
    <row r="1314" spans="1:8" x14ac:dyDescent="0.3">
      <c r="C1314" s="80"/>
      <c r="D1314" s="125"/>
      <c r="E1314" s="78"/>
      <c r="F1314" s="78"/>
      <c r="G1314" s="78"/>
    </row>
    <row r="1315" spans="1:8" ht="15" thickBot="1" x14ac:dyDescent="0.35">
      <c r="A1315" s="79" t="s">
        <v>161</v>
      </c>
      <c r="C1315" s="80"/>
      <c r="D1315" s="125"/>
      <c r="E1315" s="78"/>
      <c r="F1315" s="78"/>
      <c r="G1315" s="78"/>
    </row>
    <row r="1316" spans="1:8" ht="15" thickTop="1" x14ac:dyDescent="0.3">
      <c r="A1316" s="84" t="s">
        <v>3</v>
      </c>
      <c r="B1316" s="85" t="s">
        <v>135</v>
      </c>
      <c r="C1316" s="86" t="s">
        <v>5</v>
      </c>
      <c r="D1316" s="87" t="s">
        <v>6</v>
      </c>
      <c r="E1316" s="88" t="s">
        <v>28</v>
      </c>
      <c r="F1316" s="88" t="s">
        <v>28</v>
      </c>
      <c r="G1316" s="89"/>
    </row>
    <row r="1317" spans="1:8" ht="15" thickBot="1" x14ac:dyDescent="0.35">
      <c r="A1317" s="90"/>
      <c r="B1317" s="91"/>
      <c r="C1317" s="92"/>
      <c r="D1317" s="93"/>
      <c r="E1317" s="94" t="s">
        <v>11</v>
      </c>
      <c r="F1317" s="94" t="s">
        <v>10</v>
      </c>
      <c r="G1317" s="89"/>
    </row>
    <row r="1318" spans="1:8" ht="15" thickTop="1" x14ac:dyDescent="0.3">
      <c r="A1318" s="95"/>
      <c r="B1318" s="95" t="str">
        <f>LISTA!$C$47</f>
        <v>Antióxido</v>
      </c>
      <c r="C1318" s="126" t="str">
        <f>LISTA!$E$47</f>
        <v>Lts</v>
      </c>
      <c r="D1318" s="127">
        <v>0.06</v>
      </c>
      <c r="E1318" s="134">
        <f>LISTA!$F$47</f>
        <v>1737</v>
      </c>
      <c r="F1318" s="134">
        <f>ROUND(D1318*E1318,2)</f>
        <v>104.22</v>
      </c>
      <c r="G1318" s="100"/>
    </row>
    <row r="1319" spans="1:8" x14ac:dyDescent="0.3">
      <c r="A1319" s="102"/>
      <c r="B1319" s="102" t="str">
        <f>LISTA!$C$49</f>
        <v>Esmalte sintético</v>
      </c>
      <c r="C1319" s="108" t="str">
        <f>LISTA!$E$49</f>
        <v>Lts</v>
      </c>
      <c r="D1319" s="109">
        <v>0.2</v>
      </c>
      <c r="E1319" s="100">
        <f>LISTA!$F$49</f>
        <v>725</v>
      </c>
      <c r="F1319" s="100">
        <f>ROUND(D1319*E1319,2)</f>
        <v>145</v>
      </c>
      <c r="G1319" s="100"/>
    </row>
    <row r="1320" spans="1:8" x14ac:dyDescent="0.3">
      <c r="A1320" s="102"/>
      <c r="B1320" s="102" t="str">
        <f>LISTA!C$45</f>
        <v>Lijas y Accesorios</v>
      </c>
      <c r="C1320" s="108" t="str">
        <f>LISTA!E$45</f>
        <v>Gl</v>
      </c>
      <c r="D1320" s="109">
        <v>0.15</v>
      </c>
      <c r="E1320" s="130">
        <f>LISTA!F$45</f>
        <v>45</v>
      </c>
      <c r="F1320" s="100">
        <f>ROUND(D1320*E1320,2)</f>
        <v>6.75</v>
      </c>
      <c r="G1320" s="100"/>
    </row>
    <row r="1321" spans="1:8" x14ac:dyDescent="0.3">
      <c r="A1321" s="114"/>
      <c r="B1321" s="114"/>
      <c r="C1321" s="115"/>
      <c r="D1321" s="116" t="s">
        <v>165</v>
      </c>
      <c r="E1321" s="117"/>
      <c r="F1321" s="132"/>
      <c r="G1321" s="113">
        <f>SUM(F1318:F1320)</f>
        <v>255.97</v>
      </c>
      <c r="H1321" s="91"/>
    </row>
    <row r="1322" spans="1:8" ht="15" thickBot="1" x14ac:dyDescent="0.35">
      <c r="A1322" s="79" t="s">
        <v>166</v>
      </c>
      <c r="C1322" s="80"/>
      <c r="D1322" s="125"/>
      <c r="E1322" s="78"/>
      <c r="F1322" s="78"/>
      <c r="G1322" s="117"/>
    </row>
    <row r="1323" spans="1:8" ht="15" thickTop="1" x14ac:dyDescent="0.3">
      <c r="A1323" s="84" t="s">
        <v>3</v>
      </c>
      <c r="B1323" s="85" t="s">
        <v>135</v>
      </c>
      <c r="C1323" s="86" t="s">
        <v>5</v>
      </c>
      <c r="D1323" s="87" t="s">
        <v>6</v>
      </c>
      <c r="E1323" s="88" t="s">
        <v>28</v>
      </c>
      <c r="F1323" s="88" t="s">
        <v>28</v>
      </c>
      <c r="G1323" s="89"/>
    </row>
    <row r="1324" spans="1:8" ht="15" thickBot="1" x14ac:dyDescent="0.35">
      <c r="A1324" s="90"/>
      <c r="B1324" s="91"/>
      <c r="C1324" s="92"/>
      <c r="D1324" s="93"/>
      <c r="E1324" s="94" t="s">
        <v>11</v>
      </c>
      <c r="F1324" s="94" t="s">
        <v>10</v>
      </c>
      <c r="G1324" s="89"/>
    </row>
    <row r="1325" spans="1:8" ht="15" thickTop="1" x14ac:dyDescent="0.3">
      <c r="A1325" s="95"/>
      <c r="B1325" s="95" t="s">
        <v>167</v>
      </c>
      <c r="C1325" s="126" t="s">
        <v>168</v>
      </c>
      <c r="D1325" s="127">
        <v>0.7</v>
      </c>
      <c r="E1325" s="134">
        <f>$F$22*1.2</f>
        <v>1486.752</v>
      </c>
      <c r="F1325" s="134">
        <f>ROUND(D1325*E1325,2)</f>
        <v>1040.73</v>
      </c>
      <c r="G1325" s="100"/>
    </row>
    <row r="1326" spans="1:8" x14ac:dyDescent="0.3">
      <c r="A1326" s="102"/>
      <c r="B1326" s="102" t="s">
        <v>221</v>
      </c>
      <c r="C1326" s="108" t="s">
        <v>168</v>
      </c>
      <c r="D1326" s="109">
        <v>0.5</v>
      </c>
      <c r="E1326" s="100">
        <f>$F$39</f>
        <v>386.38</v>
      </c>
      <c r="F1326" s="100">
        <f>ROUND(D1326*E1326,2)</f>
        <v>193.19</v>
      </c>
      <c r="G1326" s="100"/>
    </row>
    <row r="1327" spans="1:8" x14ac:dyDescent="0.3">
      <c r="A1327" s="114"/>
      <c r="B1327" s="114"/>
      <c r="C1327" s="115"/>
      <c r="D1327" s="116" t="s">
        <v>170</v>
      </c>
      <c r="E1327" s="117"/>
      <c r="F1327" s="132"/>
      <c r="G1327" s="113">
        <f>SUM(F1325:F1326)</f>
        <v>1233.92</v>
      </c>
      <c r="H1327" s="91"/>
    </row>
    <row r="1328" spans="1:8" ht="15" thickBot="1" x14ac:dyDescent="0.35">
      <c r="C1328" s="80"/>
      <c r="D1328" s="125"/>
      <c r="E1328" s="78"/>
      <c r="F1328" s="78"/>
      <c r="G1328" s="117"/>
    </row>
    <row r="1329" spans="1:8" ht="15.6" thickTop="1" thickBot="1" x14ac:dyDescent="0.35">
      <c r="C1329" s="80"/>
      <c r="D1329" s="125" t="s">
        <v>171</v>
      </c>
      <c r="E1329" s="78"/>
      <c r="F1329" s="78"/>
      <c r="G1329" s="135">
        <f>SUM(G1321:G1327)</f>
        <v>1489.89</v>
      </c>
      <c r="H1329" s="136"/>
    </row>
    <row r="1330" spans="1:8" ht="15" thickTop="1" x14ac:dyDescent="0.3">
      <c r="C1330" s="80"/>
      <c r="D1330" s="125"/>
      <c r="E1330" s="78"/>
      <c r="F1330" s="78"/>
      <c r="G1330" s="137"/>
    </row>
    <row r="1332" spans="1:8" ht="15.6" x14ac:dyDescent="0.3">
      <c r="A1332" s="79" t="s">
        <v>128</v>
      </c>
      <c r="B1332" s="81" t="s">
        <v>265</v>
      </c>
      <c r="C1332" s="80"/>
      <c r="D1332" s="125"/>
      <c r="E1332" s="78"/>
      <c r="F1332" s="78"/>
      <c r="G1332" s="78"/>
    </row>
    <row r="1333" spans="1:8" ht="15.6" x14ac:dyDescent="0.3">
      <c r="A1333" s="79" t="s">
        <v>130</v>
      </c>
      <c r="B1333" s="81" t="s">
        <v>202</v>
      </c>
      <c r="C1333" s="80"/>
      <c r="D1333" s="125"/>
      <c r="E1333" s="78"/>
      <c r="F1333" s="78"/>
      <c r="G1333" s="78"/>
    </row>
    <row r="1334" spans="1:8" x14ac:dyDescent="0.3">
      <c r="C1334" s="80"/>
      <c r="D1334" s="125"/>
      <c r="E1334" s="78"/>
      <c r="F1334" s="78"/>
      <c r="G1334" s="78"/>
    </row>
    <row r="1335" spans="1:8" ht="15" thickBot="1" x14ac:dyDescent="0.35">
      <c r="A1335" s="79" t="s">
        <v>161</v>
      </c>
      <c r="C1335" s="80"/>
      <c r="D1335" s="125"/>
      <c r="E1335" s="78"/>
      <c r="F1335" s="78"/>
      <c r="G1335" s="78"/>
    </row>
    <row r="1336" spans="1:8" ht="15" thickTop="1" x14ac:dyDescent="0.3">
      <c r="A1336" s="84" t="s">
        <v>3</v>
      </c>
      <c r="B1336" s="85" t="s">
        <v>135</v>
      </c>
      <c r="C1336" s="86" t="s">
        <v>5</v>
      </c>
      <c r="D1336" s="87" t="s">
        <v>6</v>
      </c>
      <c r="E1336" s="88" t="s">
        <v>28</v>
      </c>
      <c r="F1336" s="88" t="s">
        <v>28</v>
      </c>
      <c r="G1336" s="89"/>
    </row>
    <row r="1337" spans="1:8" ht="15" thickBot="1" x14ac:dyDescent="0.35">
      <c r="A1337" s="90"/>
      <c r="B1337" s="91"/>
      <c r="C1337" s="92"/>
      <c r="D1337" s="93"/>
      <c r="E1337" s="94" t="s">
        <v>11</v>
      </c>
      <c r="F1337" s="94" t="s">
        <v>10</v>
      </c>
      <c r="G1337" s="89"/>
    </row>
    <row r="1338" spans="1:8" ht="15" thickTop="1" x14ac:dyDescent="0.3">
      <c r="A1338" s="95"/>
      <c r="B1338" s="95" t="str">
        <f>LISTA!C81</f>
        <v>Machimbre de 3/4x4"</v>
      </c>
      <c r="C1338" s="126" t="str">
        <f>LISTA!E81</f>
        <v>M2</v>
      </c>
      <c r="D1338" s="127">
        <v>1.05</v>
      </c>
      <c r="E1338" s="134">
        <f>LISTA!F81</f>
        <v>400</v>
      </c>
      <c r="F1338" s="134">
        <f>ROUND(D1338*E1338,2)</f>
        <v>420</v>
      </c>
      <c r="G1338" s="100"/>
    </row>
    <row r="1339" spans="1:8" x14ac:dyDescent="0.3">
      <c r="A1339" s="102"/>
      <c r="B1339" s="102" t="str">
        <f>LISTA!C83</f>
        <v>Liston de pino 1/2 x 1 1/2"</v>
      </c>
      <c r="C1339" s="108" t="str">
        <f>LISTA!E83</f>
        <v>Ml</v>
      </c>
      <c r="D1339" s="109">
        <f>1/0.6</f>
        <v>1.6666666666666667</v>
      </c>
      <c r="E1339" s="100">
        <f>LISTA!F83</f>
        <v>180</v>
      </c>
      <c r="F1339" s="100">
        <f>ROUND(D1339*E1339,2)</f>
        <v>300</v>
      </c>
      <c r="G1339" s="100"/>
    </row>
    <row r="1340" spans="1:8" x14ac:dyDescent="0.3">
      <c r="A1340" s="102"/>
      <c r="B1340" s="102" t="str">
        <f>LISTA!C82</f>
        <v>Caballetes de pino 1 x 3 1/2"</v>
      </c>
      <c r="C1340" s="108" t="str">
        <f>LISTA!E82</f>
        <v>Ml</v>
      </c>
      <c r="D1340" s="109">
        <f>28/49</f>
        <v>0.5714285714285714</v>
      </c>
      <c r="E1340" s="100">
        <f>LISTA!F82</f>
        <v>1000</v>
      </c>
      <c r="F1340" s="100">
        <f>ROUND(D1340*E1340,2)</f>
        <v>571.42999999999995</v>
      </c>
      <c r="G1340" s="102"/>
    </row>
    <row r="1341" spans="1:8" x14ac:dyDescent="0.3">
      <c r="A1341" s="102"/>
      <c r="B1341" s="102" t="str">
        <f>LISTA!C86</f>
        <v>Cantonera de madera</v>
      </c>
      <c r="C1341" s="108" t="str">
        <f>LISTA!E86</f>
        <v>Ml</v>
      </c>
      <c r="D1341" s="109">
        <v>0.1</v>
      </c>
      <c r="E1341" s="100">
        <f>LISTA!F86</f>
        <v>200</v>
      </c>
      <c r="F1341" s="100">
        <f>ROUND(D1341*E1341,2)</f>
        <v>20</v>
      </c>
      <c r="G1341" s="100"/>
    </row>
    <row r="1342" spans="1:8" x14ac:dyDescent="0.3">
      <c r="A1342" s="114"/>
      <c r="B1342" s="114"/>
      <c r="C1342" s="115"/>
      <c r="D1342" s="116" t="s">
        <v>165</v>
      </c>
      <c r="E1342" s="117"/>
      <c r="F1342" s="132"/>
      <c r="G1342" s="113">
        <f>SUM(F1338:F1341)</f>
        <v>1311.4299999999998</v>
      </c>
      <c r="H1342" s="91"/>
    </row>
    <row r="1343" spans="1:8" x14ac:dyDescent="0.3">
      <c r="C1343" s="80"/>
      <c r="D1343" s="125"/>
      <c r="E1343" s="78"/>
      <c r="F1343" s="78"/>
      <c r="G1343" s="117"/>
    </row>
    <row r="1344" spans="1:8" ht="15" thickBot="1" x14ac:dyDescent="0.35">
      <c r="A1344" s="79" t="s">
        <v>166</v>
      </c>
      <c r="C1344" s="80"/>
      <c r="D1344" s="125"/>
      <c r="E1344" s="78"/>
      <c r="F1344" s="78"/>
      <c r="G1344" s="78"/>
    </row>
    <row r="1345" spans="1:8" ht="15" thickTop="1" x14ac:dyDescent="0.3">
      <c r="A1345" s="84" t="s">
        <v>3</v>
      </c>
      <c r="B1345" s="85" t="s">
        <v>135</v>
      </c>
      <c r="C1345" s="86" t="s">
        <v>5</v>
      </c>
      <c r="D1345" s="87" t="s">
        <v>6</v>
      </c>
      <c r="E1345" s="88" t="s">
        <v>28</v>
      </c>
      <c r="F1345" s="88" t="s">
        <v>28</v>
      </c>
      <c r="G1345" s="89"/>
    </row>
    <row r="1346" spans="1:8" ht="15" thickBot="1" x14ac:dyDescent="0.35">
      <c r="A1346" s="90"/>
      <c r="B1346" s="91"/>
      <c r="C1346" s="92"/>
      <c r="D1346" s="93"/>
      <c r="E1346" s="94" t="s">
        <v>11</v>
      </c>
      <c r="F1346" s="94" t="s">
        <v>10</v>
      </c>
      <c r="G1346" s="89"/>
    </row>
    <row r="1347" spans="1:8" ht="15" thickTop="1" x14ac:dyDescent="0.3">
      <c r="A1347" s="95"/>
      <c r="B1347" s="95" t="s">
        <v>167</v>
      </c>
      <c r="C1347" s="126" t="s">
        <v>168</v>
      </c>
      <c r="D1347" s="127">
        <v>0.8</v>
      </c>
      <c r="E1347" s="134">
        <f>$F$22</f>
        <v>1238.96</v>
      </c>
      <c r="F1347" s="134">
        <f>ROUND(D1347*E1347,2)</f>
        <v>991.17</v>
      </c>
      <c r="G1347" s="100"/>
    </row>
    <row r="1348" spans="1:8" x14ac:dyDescent="0.3">
      <c r="A1348" s="102"/>
      <c r="B1348" s="102" t="s">
        <v>169</v>
      </c>
      <c r="C1348" s="108" t="s">
        <v>168</v>
      </c>
      <c r="D1348" s="109">
        <v>0.65</v>
      </c>
      <c r="E1348" s="100">
        <f>$F$39</f>
        <v>386.38</v>
      </c>
      <c r="F1348" s="100">
        <f>ROUND(D1348*E1348,2)</f>
        <v>251.15</v>
      </c>
      <c r="G1348" s="100"/>
    </row>
    <row r="1349" spans="1:8" x14ac:dyDescent="0.3">
      <c r="A1349" s="114"/>
      <c r="B1349" s="114"/>
      <c r="C1349" s="115"/>
      <c r="D1349" s="116" t="s">
        <v>170</v>
      </c>
      <c r="E1349" s="117"/>
      <c r="F1349" s="132"/>
      <c r="G1349" s="113">
        <f>SUM(F1347:F1348)</f>
        <v>1242.32</v>
      </c>
      <c r="H1349" s="91"/>
    </row>
    <row r="1350" spans="1:8" ht="15" thickBot="1" x14ac:dyDescent="0.35">
      <c r="C1350" s="80"/>
      <c r="D1350" s="125"/>
      <c r="E1350" s="78"/>
      <c r="F1350" s="78"/>
      <c r="G1350" s="117"/>
    </row>
    <row r="1351" spans="1:8" ht="15.6" thickTop="1" thickBot="1" x14ac:dyDescent="0.35">
      <c r="C1351" s="80"/>
      <c r="D1351" s="125" t="s">
        <v>171</v>
      </c>
      <c r="E1351" s="78"/>
      <c r="F1351" s="78"/>
      <c r="G1351" s="135">
        <f>SUM(G1342:G1349)</f>
        <v>2553.75</v>
      </c>
      <c r="H1351" s="136"/>
    </row>
    <row r="1352" spans="1:8" ht="15" thickTop="1" x14ac:dyDescent="0.3">
      <c r="C1352" s="80"/>
      <c r="D1352" s="125"/>
      <c r="E1352" s="78"/>
      <c r="F1352" s="78"/>
      <c r="G1352" s="137"/>
    </row>
    <row r="1353" spans="1:8" ht="15.6" x14ac:dyDescent="0.3">
      <c r="A1353" s="79" t="s">
        <v>128</v>
      </c>
      <c r="B1353" s="81" t="s">
        <v>266</v>
      </c>
      <c r="C1353" s="80"/>
      <c r="D1353" s="125"/>
      <c r="E1353" s="78"/>
      <c r="F1353" s="78"/>
      <c r="G1353" s="78"/>
    </row>
    <row r="1354" spans="1:8" ht="15.6" x14ac:dyDescent="0.3">
      <c r="A1354" s="79" t="s">
        <v>130</v>
      </c>
      <c r="B1354" s="81" t="s">
        <v>202</v>
      </c>
      <c r="C1354" s="80"/>
      <c r="D1354" s="125"/>
      <c r="E1354" s="78"/>
      <c r="F1354" s="78"/>
      <c r="G1354" s="78"/>
    </row>
    <row r="1355" spans="1:8" x14ac:dyDescent="0.3">
      <c r="C1355" s="80"/>
      <c r="D1355" s="125"/>
      <c r="E1355" s="78"/>
      <c r="F1355" s="78"/>
      <c r="G1355" s="78"/>
    </row>
    <row r="1356" spans="1:8" ht="15" thickBot="1" x14ac:dyDescent="0.35">
      <c r="A1356" s="79" t="s">
        <v>161</v>
      </c>
      <c r="C1356" s="80"/>
      <c r="D1356" s="125"/>
      <c r="E1356" s="78"/>
      <c r="F1356" s="78"/>
      <c r="G1356" s="78"/>
    </row>
    <row r="1357" spans="1:8" ht="15" thickTop="1" x14ac:dyDescent="0.3">
      <c r="A1357" s="84" t="s">
        <v>3</v>
      </c>
      <c r="B1357" s="85" t="s">
        <v>135</v>
      </c>
      <c r="C1357" s="86" t="s">
        <v>5</v>
      </c>
      <c r="D1357" s="87" t="s">
        <v>6</v>
      </c>
      <c r="E1357" s="88" t="s">
        <v>28</v>
      </c>
      <c r="F1357" s="88" t="s">
        <v>28</v>
      </c>
      <c r="G1357" s="89"/>
    </row>
    <row r="1358" spans="1:8" ht="15" thickBot="1" x14ac:dyDescent="0.35">
      <c r="A1358" s="90"/>
      <c r="B1358" s="91"/>
      <c r="C1358" s="92"/>
      <c r="D1358" s="93"/>
      <c r="E1358" s="94" t="s">
        <v>11</v>
      </c>
      <c r="F1358" s="94" t="s">
        <v>10</v>
      </c>
      <c r="G1358" s="89"/>
    </row>
    <row r="1359" spans="1:8" ht="15" thickTop="1" x14ac:dyDescent="0.3">
      <c r="A1359" s="95"/>
      <c r="B1359" s="95" t="str">
        <f>LISTA!$C$84</f>
        <v>Alfajias de pino 1x3"</v>
      </c>
      <c r="C1359" s="126" t="str">
        <f>LISTA!$E$84</f>
        <v>Ml</v>
      </c>
      <c r="D1359" s="127">
        <v>3.3</v>
      </c>
      <c r="E1359" s="134">
        <f>LISTA!$F$84</f>
        <v>30</v>
      </c>
      <c r="F1359" s="134">
        <f t="shared" ref="F1359:F1366" si="10">ROUND(D1359*E1359,2)</f>
        <v>99</v>
      </c>
      <c r="G1359" s="100"/>
    </row>
    <row r="1360" spans="1:8" x14ac:dyDescent="0.3">
      <c r="A1360" s="102"/>
      <c r="B1360" s="102" t="str">
        <f>LISTA!$C$23</f>
        <v>Metal desplegado</v>
      </c>
      <c r="C1360" s="108" t="str">
        <f>LISTA!$E$23</f>
        <v>Gl</v>
      </c>
      <c r="D1360" s="109">
        <v>1.1499999999999999</v>
      </c>
      <c r="E1360" s="100">
        <f>LISTA!$F$23</f>
        <v>418.85</v>
      </c>
      <c r="F1360" s="100">
        <f t="shared" si="10"/>
        <v>481.68</v>
      </c>
      <c r="G1360" s="100"/>
    </row>
    <row r="1361" spans="1:8" x14ac:dyDescent="0.3">
      <c r="A1361" s="102"/>
      <c r="B1361" s="102" t="str">
        <f>LISTA!$C$15</f>
        <v>Alambre Negro</v>
      </c>
      <c r="C1361" s="108" t="str">
        <f>LISTA!$E$15</f>
        <v>Kg</v>
      </c>
      <c r="D1361" s="109">
        <v>0.6</v>
      </c>
      <c r="E1361" s="100">
        <f>LISTA!$F$15</f>
        <v>298</v>
      </c>
      <c r="F1361" s="100">
        <f t="shared" si="10"/>
        <v>178.8</v>
      </c>
      <c r="G1361" s="100"/>
    </row>
    <row r="1362" spans="1:8" x14ac:dyDescent="0.3">
      <c r="A1362" s="102"/>
      <c r="B1362" s="102" t="str">
        <f>LISTA!$C$43</f>
        <v>Alambre Galvanizado Nº 13</v>
      </c>
      <c r="C1362" s="108" t="str">
        <f>LISTA!$E$43</f>
        <v>Kg</v>
      </c>
      <c r="D1362" s="109">
        <v>7.0000000000000007E-2</v>
      </c>
      <c r="E1362" s="100">
        <f>LISTA!$F$43</f>
        <v>1800</v>
      </c>
      <c r="F1362" s="100">
        <f t="shared" si="10"/>
        <v>126</v>
      </c>
      <c r="G1362" s="100"/>
    </row>
    <row r="1363" spans="1:8" x14ac:dyDescent="0.3">
      <c r="A1363" s="102"/>
      <c r="B1363" s="102" t="str">
        <f>LISTA!$C$10</f>
        <v>Cemento</v>
      </c>
      <c r="C1363" s="108" t="str">
        <f>LISTA!$E$10</f>
        <v>Kg</v>
      </c>
      <c r="D1363" s="109">
        <v>4.5</v>
      </c>
      <c r="E1363" s="100">
        <f>LISTA!$F$10</f>
        <v>6.15</v>
      </c>
      <c r="F1363" s="100">
        <f t="shared" si="10"/>
        <v>27.68</v>
      </c>
      <c r="G1363" s="100"/>
    </row>
    <row r="1364" spans="1:8" x14ac:dyDescent="0.3">
      <c r="A1364" s="102"/>
      <c r="B1364" s="102" t="str">
        <f>LISTA!$C$11</f>
        <v xml:space="preserve">Arena </v>
      </c>
      <c r="C1364" s="108" t="str">
        <f>LISTA!$E$11</f>
        <v>M3</v>
      </c>
      <c r="D1364" s="109">
        <v>0.03</v>
      </c>
      <c r="E1364" s="100">
        <f>LISTA!$F$11</f>
        <v>2890</v>
      </c>
      <c r="F1364" s="100">
        <f t="shared" si="10"/>
        <v>86.7</v>
      </c>
      <c r="G1364" s="100"/>
    </row>
    <row r="1365" spans="1:8" x14ac:dyDescent="0.3">
      <c r="A1365" s="102"/>
      <c r="B1365" s="102" t="str">
        <f>LISTA!$C$17</f>
        <v>Cal</v>
      </c>
      <c r="C1365" s="108" t="str">
        <f>LISTA!$E$17</f>
        <v>Kg</v>
      </c>
      <c r="D1365" s="109">
        <v>3.6</v>
      </c>
      <c r="E1365" s="100">
        <f>LISTA!$F$17</f>
        <v>3.9</v>
      </c>
      <c r="F1365" s="100">
        <f t="shared" si="10"/>
        <v>14.04</v>
      </c>
      <c r="G1365" s="100"/>
    </row>
    <row r="1366" spans="1:8" x14ac:dyDescent="0.3">
      <c r="A1366" s="102"/>
      <c r="B1366" s="102" t="s">
        <v>237</v>
      </c>
      <c r="C1366" s="108" t="s">
        <v>1</v>
      </c>
      <c r="D1366" s="109">
        <v>1</v>
      </c>
      <c r="E1366" s="100">
        <v>2</v>
      </c>
      <c r="F1366" s="100">
        <f t="shared" si="10"/>
        <v>2</v>
      </c>
      <c r="G1366" s="100"/>
    </row>
    <row r="1367" spans="1:8" x14ac:dyDescent="0.3">
      <c r="A1367" s="114"/>
      <c r="B1367" s="114"/>
      <c r="C1367" s="115"/>
      <c r="D1367" s="116" t="s">
        <v>165</v>
      </c>
      <c r="E1367" s="117"/>
      <c r="F1367" s="132"/>
      <c r="G1367" s="113">
        <f>SUM(F1359:F1366)</f>
        <v>1015.9</v>
      </c>
      <c r="H1367" s="91"/>
    </row>
    <row r="1368" spans="1:8" x14ac:dyDescent="0.3">
      <c r="C1368" s="80"/>
      <c r="D1368" s="125"/>
      <c r="E1368" s="78"/>
      <c r="F1368" s="78"/>
      <c r="G1368" s="117"/>
    </row>
    <row r="1369" spans="1:8" ht="15" thickBot="1" x14ac:dyDescent="0.35">
      <c r="A1369" s="79" t="s">
        <v>166</v>
      </c>
      <c r="C1369" s="80"/>
      <c r="D1369" s="125"/>
      <c r="E1369" s="78"/>
      <c r="F1369" s="78"/>
      <c r="G1369" s="78"/>
    </row>
    <row r="1370" spans="1:8" ht="15" thickTop="1" x14ac:dyDescent="0.3">
      <c r="A1370" s="84" t="s">
        <v>3</v>
      </c>
      <c r="B1370" s="85" t="s">
        <v>135</v>
      </c>
      <c r="C1370" s="86" t="s">
        <v>5</v>
      </c>
      <c r="D1370" s="87" t="s">
        <v>6</v>
      </c>
      <c r="E1370" s="88" t="s">
        <v>28</v>
      </c>
      <c r="F1370" s="88" t="s">
        <v>28</v>
      </c>
      <c r="G1370" s="89"/>
    </row>
    <row r="1371" spans="1:8" ht="15" thickBot="1" x14ac:dyDescent="0.35">
      <c r="A1371" s="90"/>
      <c r="B1371" s="91"/>
      <c r="C1371" s="92"/>
      <c r="D1371" s="93"/>
      <c r="E1371" s="94" t="s">
        <v>11</v>
      </c>
      <c r="F1371" s="94" t="s">
        <v>10</v>
      </c>
      <c r="G1371" s="89"/>
    </row>
    <row r="1372" spans="1:8" ht="15" thickTop="1" x14ac:dyDescent="0.3">
      <c r="A1372" s="95"/>
      <c r="B1372" s="95" t="s">
        <v>167</v>
      </c>
      <c r="C1372" s="126" t="s">
        <v>168</v>
      </c>
      <c r="D1372" s="127">
        <v>3</v>
      </c>
      <c r="E1372" s="134">
        <f>$F$22</f>
        <v>1238.96</v>
      </c>
      <c r="F1372" s="134">
        <f>ROUND(D1372*E1372,2)</f>
        <v>3716.88</v>
      </c>
      <c r="G1372" s="100"/>
    </row>
    <row r="1373" spans="1:8" x14ac:dyDescent="0.3">
      <c r="A1373" s="102"/>
      <c r="B1373" s="102" t="s">
        <v>169</v>
      </c>
      <c r="C1373" s="108" t="s">
        <v>168</v>
      </c>
      <c r="D1373" s="109">
        <v>2</v>
      </c>
      <c r="E1373" s="100">
        <f>$F$39</f>
        <v>386.38</v>
      </c>
      <c r="F1373" s="100">
        <f>ROUND(D1373*E1373,2)</f>
        <v>772.76</v>
      </c>
      <c r="G1373" s="100"/>
    </row>
    <row r="1374" spans="1:8" x14ac:dyDescent="0.3">
      <c r="A1374" s="114"/>
      <c r="B1374" s="114"/>
      <c r="C1374" s="115"/>
      <c r="D1374" s="116" t="s">
        <v>170</v>
      </c>
      <c r="E1374" s="117"/>
      <c r="F1374" s="132"/>
      <c r="G1374" s="113">
        <f>SUM(F1372:F1373)</f>
        <v>4489.6400000000003</v>
      </c>
      <c r="H1374" s="91"/>
    </row>
    <row r="1375" spans="1:8" ht="15" thickBot="1" x14ac:dyDescent="0.35">
      <c r="C1375" s="80"/>
      <c r="D1375" s="125"/>
      <c r="E1375" s="78"/>
      <c r="F1375" s="78"/>
      <c r="G1375" s="117"/>
    </row>
    <row r="1376" spans="1:8" ht="15.6" thickTop="1" thickBot="1" x14ac:dyDescent="0.35">
      <c r="C1376" s="80"/>
      <c r="D1376" s="125" t="s">
        <v>171</v>
      </c>
      <c r="E1376" s="78"/>
      <c r="F1376" s="78"/>
      <c r="G1376" s="135">
        <f>SUM(G1367:G1374)</f>
        <v>5505.54</v>
      </c>
      <c r="H1376" s="136"/>
    </row>
    <row r="1377" spans="1:8" ht="15" thickTop="1" x14ac:dyDescent="0.3">
      <c r="C1377" s="80"/>
      <c r="D1377" s="125"/>
      <c r="E1377" s="78"/>
      <c r="F1377" s="78"/>
      <c r="G1377" s="137"/>
    </row>
    <row r="1378" spans="1:8" ht="15.6" x14ac:dyDescent="0.3">
      <c r="A1378" s="79" t="s">
        <v>128</v>
      </c>
      <c r="B1378" s="81" t="s">
        <v>267</v>
      </c>
      <c r="C1378" s="80"/>
      <c r="D1378" s="125"/>
      <c r="E1378" s="78"/>
      <c r="F1378" s="78"/>
      <c r="G1378" s="78"/>
    </row>
    <row r="1379" spans="1:8" ht="15.6" x14ac:dyDescent="0.3">
      <c r="A1379" s="79" t="s">
        <v>130</v>
      </c>
      <c r="B1379" s="81" t="s">
        <v>202</v>
      </c>
      <c r="C1379" s="80"/>
      <c r="D1379" s="125"/>
      <c r="E1379" s="78"/>
      <c r="F1379" s="78"/>
      <c r="G1379" s="78"/>
    </row>
    <row r="1380" spans="1:8" x14ac:dyDescent="0.3">
      <c r="C1380" s="80"/>
      <c r="D1380" s="125"/>
      <c r="E1380" s="78"/>
      <c r="F1380" s="78"/>
      <c r="G1380" s="78"/>
    </row>
    <row r="1381" spans="1:8" ht="15" thickBot="1" x14ac:dyDescent="0.35">
      <c r="A1381" s="79" t="s">
        <v>161</v>
      </c>
      <c r="C1381" s="80"/>
      <c r="D1381" s="125"/>
      <c r="E1381" s="78"/>
      <c r="F1381" s="78"/>
      <c r="G1381" s="78"/>
    </row>
    <row r="1382" spans="1:8" ht="15" thickTop="1" x14ac:dyDescent="0.3">
      <c r="A1382" s="84" t="s">
        <v>3</v>
      </c>
      <c r="B1382" s="85" t="s">
        <v>135</v>
      </c>
      <c r="C1382" s="86" t="s">
        <v>5</v>
      </c>
      <c r="D1382" s="87" t="s">
        <v>6</v>
      </c>
      <c r="E1382" s="88" t="s">
        <v>28</v>
      </c>
      <c r="F1382" s="88" t="s">
        <v>28</v>
      </c>
      <c r="G1382" s="89"/>
    </row>
    <row r="1383" spans="1:8" x14ac:dyDescent="0.3">
      <c r="A1383" s="90"/>
      <c r="B1383" s="91"/>
      <c r="C1383" s="92"/>
      <c r="D1383" s="93"/>
      <c r="E1383" s="94" t="s">
        <v>11</v>
      </c>
      <c r="F1383" s="94" t="s">
        <v>10</v>
      </c>
      <c r="G1383" s="89"/>
    </row>
    <row r="1384" spans="1:8" x14ac:dyDescent="0.3">
      <c r="A1384" s="102"/>
      <c r="B1384" s="102" t="str">
        <f>LISTA!$C$23</f>
        <v>Metal desplegado</v>
      </c>
      <c r="C1384" s="108" t="str">
        <f>LISTA!$E$23</f>
        <v>Gl</v>
      </c>
      <c r="D1384" s="109">
        <v>1.1499999999999999</v>
      </c>
      <c r="E1384" s="100">
        <f>LISTA!$F$23</f>
        <v>418.85</v>
      </c>
      <c r="F1384" s="100">
        <f t="shared" ref="F1384:F1389" si="11">ROUND(D1384*E1384,2)</f>
        <v>481.68</v>
      </c>
      <c r="G1384" s="100"/>
    </row>
    <row r="1385" spans="1:8" x14ac:dyDescent="0.3">
      <c r="A1385" s="102"/>
      <c r="B1385" s="102" t="str">
        <f>LISTA!$C$43</f>
        <v>Alambre Galvanizado Nº 13</v>
      </c>
      <c r="C1385" s="108" t="str">
        <f>LISTA!$E$43</f>
        <v>Kg</v>
      </c>
      <c r="D1385" s="109">
        <v>7.0000000000000007E-2</v>
      </c>
      <c r="E1385" s="100">
        <f>LISTA!$F$43</f>
        <v>1800</v>
      </c>
      <c r="F1385" s="100">
        <f t="shared" si="11"/>
        <v>126</v>
      </c>
      <c r="G1385" s="100"/>
    </row>
    <row r="1386" spans="1:8" x14ac:dyDescent="0.3">
      <c r="A1386" s="102"/>
      <c r="B1386" s="102" t="str">
        <f>LISTA!$C$10</f>
        <v>Cemento</v>
      </c>
      <c r="C1386" s="108" t="str">
        <f>LISTA!$E$10</f>
        <v>Kg</v>
      </c>
      <c r="D1386" s="109">
        <v>4.5</v>
      </c>
      <c r="E1386" s="100">
        <f>LISTA!$F$10</f>
        <v>6.15</v>
      </c>
      <c r="F1386" s="100">
        <f t="shared" si="11"/>
        <v>27.68</v>
      </c>
      <c r="G1386" s="100"/>
    </row>
    <row r="1387" spans="1:8" x14ac:dyDescent="0.3">
      <c r="A1387" s="102"/>
      <c r="B1387" s="102" t="str">
        <f>LISTA!$C$11</f>
        <v xml:space="preserve">Arena </v>
      </c>
      <c r="C1387" s="108" t="str">
        <f>LISTA!$E$11</f>
        <v>M3</v>
      </c>
      <c r="D1387" s="109">
        <v>0.03</v>
      </c>
      <c r="E1387" s="100">
        <f>LISTA!$F$11</f>
        <v>2890</v>
      </c>
      <c r="F1387" s="100">
        <f t="shared" si="11"/>
        <v>86.7</v>
      </c>
      <c r="G1387" s="100"/>
    </row>
    <row r="1388" spans="1:8" x14ac:dyDescent="0.3">
      <c r="A1388" s="102"/>
      <c r="B1388" s="102" t="str">
        <f>LISTA!$C$17</f>
        <v>Cal</v>
      </c>
      <c r="C1388" s="108" t="str">
        <f>LISTA!$E$17</f>
        <v>Kg</v>
      </c>
      <c r="D1388" s="109">
        <v>3.6</v>
      </c>
      <c r="E1388" s="100">
        <f>LISTA!$F$17</f>
        <v>3.9</v>
      </c>
      <c r="F1388" s="100">
        <f t="shared" si="11"/>
        <v>14.04</v>
      </c>
      <c r="G1388" s="100"/>
    </row>
    <row r="1389" spans="1:8" x14ac:dyDescent="0.3">
      <c r="A1389" s="102"/>
      <c r="B1389" s="102" t="s">
        <v>237</v>
      </c>
      <c r="C1389" s="108" t="s">
        <v>1</v>
      </c>
      <c r="D1389" s="109">
        <v>1</v>
      </c>
      <c r="E1389" s="100">
        <v>2</v>
      </c>
      <c r="F1389" s="100">
        <f t="shared" si="11"/>
        <v>2</v>
      </c>
      <c r="G1389" s="100"/>
    </row>
    <row r="1390" spans="1:8" x14ac:dyDescent="0.3">
      <c r="A1390" s="114"/>
      <c r="B1390" s="114"/>
      <c r="C1390" s="115"/>
      <c r="D1390" s="116" t="s">
        <v>165</v>
      </c>
      <c r="E1390" s="117"/>
      <c r="F1390" s="132"/>
      <c r="G1390" s="113">
        <f>SUM(F1384:F1389)</f>
        <v>738.1</v>
      </c>
      <c r="H1390" s="91"/>
    </row>
    <row r="1391" spans="1:8" x14ac:dyDescent="0.3">
      <c r="C1391" s="80"/>
      <c r="D1391" s="125"/>
      <c r="E1391" s="78"/>
      <c r="F1391" s="78"/>
      <c r="G1391" s="117"/>
    </row>
    <row r="1392" spans="1:8" ht="15" thickBot="1" x14ac:dyDescent="0.35">
      <c r="A1392" s="79" t="s">
        <v>166</v>
      </c>
      <c r="C1392" s="80"/>
      <c r="D1392" s="125"/>
      <c r="E1392" s="78"/>
      <c r="F1392" s="78"/>
      <c r="G1392" s="78"/>
    </row>
    <row r="1393" spans="1:16" ht="15" thickTop="1" x14ac:dyDescent="0.3">
      <c r="A1393" s="84" t="s">
        <v>3</v>
      </c>
      <c r="B1393" s="85" t="s">
        <v>135</v>
      </c>
      <c r="C1393" s="86" t="s">
        <v>5</v>
      </c>
      <c r="D1393" s="87" t="s">
        <v>6</v>
      </c>
      <c r="E1393" s="88" t="s">
        <v>28</v>
      </c>
      <c r="F1393" s="88" t="s">
        <v>28</v>
      </c>
      <c r="G1393" s="89"/>
    </row>
    <row r="1394" spans="1:16" ht="15" thickBot="1" x14ac:dyDescent="0.35">
      <c r="A1394" s="90"/>
      <c r="B1394" s="91"/>
      <c r="C1394" s="92"/>
      <c r="D1394" s="93"/>
      <c r="E1394" s="94" t="s">
        <v>11</v>
      </c>
      <c r="F1394" s="94" t="s">
        <v>10</v>
      </c>
      <c r="G1394" s="89"/>
    </row>
    <row r="1395" spans="1:16" ht="15" thickTop="1" x14ac:dyDescent="0.3">
      <c r="A1395" s="95"/>
      <c r="B1395" s="95" t="s">
        <v>167</v>
      </c>
      <c r="C1395" s="126" t="s">
        <v>168</v>
      </c>
      <c r="D1395" s="127">
        <v>2</v>
      </c>
      <c r="E1395" s="134">
        <f>$F$22</f>
        <v>1238.96</v>
      </c>
      <c r="F1395" s="134">
        <f>ROUND(D1395*E1395,2)</f>
        <v>2477.92</v>
      </c>
      <c r="G1395" s="100"/>
    </row>
    <row r="1396" spans="1:16" x14ac:dyDescent="0.3">
      <c r="A1396" s="102"/>
      <c r="B1396" s="102" t="s">
        <v>169</v>
      </c>
      <c r="C1396" s="108" t="s">
        <v>168</v>
      </c>
      <c r="D1396" s="109">
        <v>1</v>
      </c>
      <c r="E1396" s="100">
        <f>$F$39</f>
        <v>386.38</v>
      </c>
      <c r="F1396" s="100">
        <f>ROUND(D1396*E1396,2)</f>
        <v>386.38</v>
      </c>
      <c r="G1396" s="100"/>
    </row>
    <row r="1397" spans="1:16" x14ac:dyDescent="0.3">
      <c r="A1397" s="114"/>
      <c r="B1397" s="114"/>
      <c r="C1397" s="115"/>
      <c r="D1397" s="116" t="s">
        <v>170</v>
      </c>
      <c r="E1397" s="117"/>
      <c r="F1397" s="132"/>
      <c r="G1397" s="113">
        <f>SUM(F1395:F1396)</f>
        <v>2864.3</v>
      </c>
      <c r="H1397" s="91"/>
    </row>
    <row r="1398" spans="1:16" ht="15" thickBot="1" x14ac:dyDescent="0.35">
      <c r="C1398" s="80"/>
      <c r="D1398" s="125"/>
      <c r="E1398" s="78"/>
      <c r="F1398" s="78"/>
      <c r="G1398" s="117"/>
    </row>
    <row r="1399" spans="1:16" ht="15.6" thickTop="1" thickBot="1" x14ac:dyDescent="0.35">
      <c r="C1399" s="80"/>
      <c r="D1399" s="125" t="s">
        <v>171</v>
      </c>
      <c r="E1399" s="78"/>
      <c r="F1399" s="78"/>
      <c r="G1399" s="135">
        <f>SUM(G1390:G1397)</f>
        <v>3602.4</v>
      </c>
      <c r="H1399" s="136"/>
    </row>
    <row r="1400" spans="1:16" ht="15" thickTop="1" x14ac:dyDescent="0.3">
      <c r="C1400" s="80"/>
      <c r="D1400" s="125"/>
      <c r="E1400" s="78"/>
      <c r="F1400" s="78"/>
      <c r="G1400" s="137"/>
    </row>
    <row r="1401" spans="1:16" ht="15.6" x14ac:dyDescent="0.3">
      <c r="A1401" s="79" t="s">
        <v>128</v>
      </c>
      <c r="B1401" s="81" t="s">
        <v>268</v>
      </c>
      <c r="C1401" s="80"/>
      <c r="D1401" s="125"/>
      <c r="E1401" s="78"/>
      <c r="F1401" s="78"/>
      <c r="G1401" s="78"/>
    </row>
    <row r="1402" spans="1:16" ht="15.6" x14ac:dyDescent="0.3">
      <c r="A1402" s="79" t="s">
        <v>130</v>
      </c>
      <c r="B1402" s="81" t="s">
        <v>202</v>
      </c>
      <c r="C1402" s="80"/>
      <c r="D1402" s="125"/>
      <c r="E1402" s="78"/>
      <c r="F1402" s="78"/>
      <c r="G1402" s="78"/>
      <c r="P1402" s="189"/>
    </row>
    <row r="1403" spans="1:16" x14ac:dyDescent="0.3">
      <c r="C1403" s="80"/>
      <c r="D1403" s="125"/>
      <c r="E1403" s="78"/>
      <c r="F1403" s="78"/>
      <c r="G1403" s="78"/>
    </row>
    <row r="1404" spans="1:16" ht="15" thickBot="1" x14ac:dyDescent="0.35">
      <c r="A1404" s="79" t="s">
        <v>161</v>
      </c>
      <c r="C1404" s="80"/>
      <c r="D1404" s="125"/>
      <c r="E1404" s="78"/>
      <c r="F1404" s="78"/>
      <c r="G1404" s="78"/>
      <c r="P1404" s="189"/>
    </row>
    <row r="1405" spans="1:16" ht="15" thickTop="1" x14ac:dyDescent="0.3">
      <c r="A1405" s="84" t="s">
        <v>3</v>
      </c>
      <c r="B1405" s="85" t="s">
        <v>135</v>
      </c>
      <c r="C1405" s="86" t="s">
        <v>5</v>
      </c>
      <c r="D1405" s="87" t="s">
        <v>6</v>
      </c>
      <c r="E1405" s="88" t="s">
        <v>28</v>
      </c>
      <c r="F1405" s="88" t="s">
        <v>28</v>
      </c>
      <c r="G1405" s="89"/>
    </row>
    <row r="1406" spans="1:16" ht="15" thickBot="1" x14ac:dyDescent="0.35">
      <c r="A1406" s="90"/>
      <c r="B1406" s="91"/>
      <c r="C1406" s="92"/>
      <c r="D1406" s="93"/>
      <c r="E1406" s="94" t="s">
        <v>11</v>
      </c>
      <c r="F1406" s="94" t="s">
        <v>10</v>
      </c>
      <c r="G1406" s="89"/>
      <c r="P1406" s="189"/>
    </row>
    <row r="1407" spans="1:16" ht="15" thickTop="1" x14ac:dyDescent="0.3">
      <c r="A1407" s="95"/>
      <c r="B1407" s="95" t="str">
        <f>LISTA!$C$65</f>
        <v>Vidrio triple transparente 4mm</v>
      </c>
      <c r="C1407" s="146" t="str">
        <f>LISTA!$E$65</f>
        <v>M2</v>
      </c>
      <c r="D1407" s="127">
        <v>1</v>
      </c>
      <c r="E1407" s="146">
        <f>LISTA!$F$65</f>
        <v>1900</v>
      </c>
      <c r="F1407" s="134">
        <f>ROUND(D1407*E1407,2)</f>
        <v>1900</v>
      </c>
      <c r="G1407" s="100"/>
    </row>
    <row r="1408" spans="1:16" x14ac:dyDescent="0.3">
      <c r="A1408" s="102"/>
      <c r="B1408" s="102" t="str">
        <f>LISTA!$C$66</f>
        <v>Masilla</v>
      </c>
      <c r="C1408" s="147" t="str">
        <f>LISTA!$E$66</f>
        <v>Kg</v>
      </c>
      <c r="D1408" s="109">
        <v>0.1</v>
      </c>
      <c r="E1408" s="147">
        <f>LISTA!$F$66</f>
        <v>1775</v>
      </c>
      <c r="F1408" s="100">
        <f>ROUND(D1408*E1408,2)</f>
        <v>177.5</v>
      </c>
      <c r="G1408" s="100"/>
      <c r="P1408" s="189"/>
    </row>
    <row r="1409" spans="1:16" x14ac:dyDescent="0.3">
      <c r="A1409" s="102"/>
      <c r="B1409" s="102"/>
      <c r="C1409" s="108"/>
      <c r="D1409" s="109"/>
      <c r="E1409" s="100"/>
      <c r="F1409" s="100"/>
      <c r="G1409" s="100"/>
    </row>
    <row r="1410" spans="1:16" x14ac:dyDescent="0.3">
      <c r="A1410" s="114"/>
      <c r="B1410" s="114"/>
      <c r="C1410" s="115"/>
      <c r="D1410" s="116" t="s">
        <v>165</v>
      </c>
      <c r="E1410" s="117"/>
      <c r="F1410" s="132"/>
      <c r="G1410" s="113">
        <f>SUM(F1407:F1408)</f>
        <v>2077.5</v>
      </c>
      <c r="H1410" s="91"/>
      <c r="P1410" s="189"/>
    </row>
    <row r="1411" spans="1:16" x14ac:dyDescent="0.3">
      <c r="C1411" s="80"/>
      <c r="D1411" s="125"/>
      <c r="E1411" s="78"/>
      <c r="F1411" s="78"/>
      <c r="G1411" s="117"/>
    </row>
    <row r="1412" spans="1:16" ht="15" thickBot="1" x14ac:dyDescent="0.35">
      <c r="A1412" s="79" t="s">
        <v>166</v>
      </c>
      <c r="C1412" s="80"/>
      <c r="D1412" s="125"/>
      <c r="E1412" s="78"/>
      <c r="F1412" s="78"/>
      <c r="G1412" s="78"/>
      <c r="P1412" s="189"/>
    </row>
    <row r="1413" spans="1:16" ht="15" thickTop="1" x14ac:dyDescent="0.3">
      <c r="A1413" s="84" t="s">
        <v>3</v>
      </c>
      <c r="B1413" s="85" t="s">
        <v>135</v>
      </c>
      <c r="C1413" s="86" t="s">
        <v>5</v>
      </c>
      <c r="D1413" s="87" t="s">
        <v>6</v>
      </c>
      <c r="E1413" s="88" t="s">
        <v>28</v>
      </c>
      <c r="F1413" s="88" t="s">
        <v>28</v>
      </c>
      <c r="G1413" s="89"/>
    </row>
    <row r="1414" spans="1:16" ht="15" thickBot="1" x14ac:dyDescent="0.35">
      <c r="A1414" s="90"/>
      <c r="B1414" s="91"/>
      <c r="C1414" s="92"/>
      <c r="D1414" s="93"/>
      <c r="E1414" s="94" t="s">
        <v>11</v>
      </c>
      <c r="F1414" s="94" t="s">
        <v>10</v>
      </c>
      <c r="G1414" s="89"/>
      <c r="P1414" s="189"/>
    </row>
    <row r="1415" spans="1:16" ht="15" thickTop="1" x14ac:dyDescent="0.3">
      <c r="A1415" s="95"/>
      <c r="B1415" s="95" t="s">
        <v>167</v>
      </c>
      <c r="C1415" s="126" t="s">
        <v>168</v>
      </c>
      <c r="D1415" s="127">
        <v>0.33</v>
      </c>
      <c r="E1415" s="134">
        <f>$F$22</f>
        <v>1238.96</v>
      </c>
      <c r="F1415" s="134">
        <f>ROUND(D1415*E1415,2)</f>
        <v>408.86</v>
      </c>
      <c r="G1415" s="100"/>
    </row>
    <row r="1416" spans="1:16" x14ac:dyDescent="0.3">
      <c r="A1416" s="102"/>
      <c r="B1416" s="102"/>
      <c r="C1416" s="108"/>
      <c r="D1416" s="109"/>
      <c r="E1416" s="100"/>
      <c r="F1416" s="100"/>
      <c r="G1416" s="100"/>
      <c r="P1416" s="189"/>
    </row>
    <row r="1417" spans="1:16" x14ac:dyDescent="0.3">
      <c r="A1417" s="114"/>
      <c r="B1417" s="114"/>
      <c r="C1417" s="115"/>
      <c r="D1417" s="116" t="s">
        <v>170</v>
      </c>
      <c r="E1417" s="117"/>
      <c r="F1417" s="132"/>
      <c r="G1417" s="113">
        <f>SUM(F1415:F1416)</f>
        <v>408.86</v>
      </c>
      <c r="H1417" s="91"/>
    </row>
    <row r="1418" spans="1:16" ht="15" thickBot="1" x14ac:dyDescent="0.35">
      <c r="C1418" s="80"/>
      <c r="D1418" s="125"/>
      <c r="E1418" s="78"/>
      <c r="F1418" s="78"/>
      <c r="G1418" s="117"/>
    </row>
    <row r="1419" spans="1:16" ht="15.6" thickTop="1" thickBot="1" x14ac:dyDescent="0.35">
      <c r="C1419" s="80"/>
      <c r="D1419" s="125" t="s">
        <v>171</v>
      </c>
      <c r="E1419" s="78"/>
      <c r="F1419" s="78"/>
      <c r="G1419" s="135">
        <f>SUM(G1410:G1417)</f>
        <v>2486.36</v>
      </c>
      <c r="H1419" s="136"/>
      <c r="P1419" s="189"/>
    </row>
    <row r="1420" spans="1:16" ht="15" thickTop="1" x14ac:dyDescent="0.3">
      <c r="C1420" s="80"/>
      <c r="D1420" s="125"/>
      <c r="E1420" s="78"/>
      <c r="F1420" s="78"/>
      <c r="G1420" s="137"/>
    </row>
    <row r="1421" spans="1:16" ht="15.6" x14ac:dyDescent="0.3">
      <c r="A1421" s="79" t="s">
        <v>128</v>
      </c>
      <c r="B1421" s="81" t="s">
        <v>269</v>
      </c>
      <c r="C1421" s="80"/>
      <c r="D1421" s="125"/>
      <c r="E1421" s="78"/>
      <c r="F1421" s="78"/>
      <c r="G1421" s="78"/>
    </row>
    <row r="1422" spans="1:16" ht="15.6" x14ac:dyDescent="0.3">
      <c r="A1422" s="79" t="s">
        <v>130</v>
      </c>
      <c r="B1422" s="81" t="s">
        <v>202</v>
      </c>
      <c r="C1422" s="80"/>
      <c r="D1422" s="125"/>
      <c r="E1422" s="78"/>
      <c r="F1422" s="78"/>
      <c r="G1422" s="78"/>
      <c r="P1422" s="189"/>
    </row>
    <row r="1423" spans="1:16" x14ac:dyDescent="0.3">
      <c r="C1423" s="80"/>
      <c r="D1423" s="125"/>
      <c r="E1423" s="78"/>
      <c r="F1423" s="78"/>
      <c r="G1423" s="78"/>
    </row>
    <row r="1424" spans="1:16" ht="15" thickBot="1" x14ac:dyDescent="0.35">
      <c r="A1424" s="79" t="s">
        <v>161</v>
      </c>
      <c r="C1424" s="80"/>
      <c r="D1424" s="125"/>
      <c r="E1424" s="78"/>
      <c r="F1424" s="78"/>
      <c r="G1424" s="78"/>
      <c r="P1424" s="189"/>
    </row>
    <row r="1425" spans="1:16" ht="15" thickTop="1" x14ac:dyDescent="0.3">
      <c r="A1425" s="84" t="s">
        <v>3</v>
      </c>
      <c r="B1425" s="85" t="s">
        <v>135</v>
      </c>
      <c r="C1425" s="86" t="s">
        <v>5</v>
      </c>
      <c r="D1425" s="87" t="s">
        <v>6</v>
      </c>
      <c r="E1425" s="88" t="s">
        <v>28</v>
      </c>
      <c r="F1425" s="88" t="s">
        <v>28</v>
      </c>
      <c r="G1425" s="89"/>
    </row>
    <row r="1426" spans="1:16" ht="15" thickBot="1" x14ac:dyDescent="0.35">
      <c r="A1426" s="90"/>
      <c r="B1426" s="91"/>
      <c r="C1426" s="92"/>
      <c r="D1426" s="93"/>
      <c r="E1426" s="94" t="s">
        <v>11</v>
      </c>
      <c r="F1426" s="94" t="s">
        <v>10</v>
      </c>
      <c r="G1426" s="89"/>
      <c r="P1426" s="189"/>
    </row>
    <row r="1427" spans="1:16" ht="15" thickTop="1" x14ac:dyDescent="0.3">
      <c r="A1427" s="95"/>
      <c r="B1427" s="95" t="str">
        <f>LISTA!$C$65</f>
        <v>Vidrio triple transparente 4mm</v>
      </c>
      <c r="C1427" s="146" t="str">
        <f>LISTA!$E$65</f>
        <v>M2</v>
      </c>
      <c r="D1427" s="127">
        <v>1</v>
      </c>
      <c r="E1427" s="146">
        <f>LISTA!$F$65</f>
        <v>1900</v>
      </c>
      <c r="F1427" s="134">
        <f>ROUND(D1427*E1427,2)</f>
        <v>1900</v>
      </c>
      <c r="G1427" s="100"/>
    </row>
    <row r="1428" spans="1:16" x14ac:dyDescent="0.3">
      <c r="A1428" s="102"/>
      <c r="B1428" s="102" t="str">
        <f>LISTA!$C$66</f>
        <v>Masilla</v>
      </c>
      <c r="C1428" s="147" t="str">
        <f>LISTA!$E$66</f>
        <v>Kg</v>
      </c>
      <c r="D1428" s="109">
        <v>0.1</v>
      </c>
      <c r="E1428" s="147">
        <f>LISTA!$F$66</f>
        <v>1775</v>
      </c>
      <c r="F1428" s="100">
        <f>ROUND(D1428*E1428,2)</f>
        <v>177.5</v>
      </c>
      <c r="G1428" s="100"/>
      <c r="P1428" s="189"/>
    </row>
    <row r="1429" spans="1:16" x14ac:dyDescent="0.3">
      <c r="A1429" s="102"/>
      <c r="B1429" s="102" t="s">
        <v>270</v>
      </c>
      <c r="C1429" s="108" t="s">
        <v>1</v>
      </c>
      <c r="D1429" s="109">
        <v>1</v>
      </c>
      <c r="E1429" s="147">
        <v>7.5</v>
      </c>
      <c r="F1429" s="100">
        <f>ROUND(D1429*E1429,2)</f>
        <v>7.5</v>
      </c>
      <c r="G1429" s="100"/>
    </row>
    <row r="1430" spans="1:16" x14ac:dyDescent="0.3">
      <c r="A1430" s="114"/>
      <c r="B1430" s="114"/>
      <c r="C1430" s="115"/>
      <c r="D1430" s="116" t="s">
        <v>165</v>
      </c>
      <c r="E1430" s="117"/>
      <c r="F1430" s="132"/>
      <c r="G1430" s="113">
        <f>SUM(F1427:F1429)</f>
        <v>2085</v>
      </c>
      <c r="H1430" s="91"/>
      <c r="P1430" s="189"/>
    </row>
    <row r="1431" spans="1:16" x14ac:dyDescent="0.3">
      <c r="C1431" s="80"/>
      <c r="D1431" s="125"/>
      <c r="E1431" s="78"/>
      <c r="F1431" s="78"/>
      <c r="G1431" s="117"/>
    </row>
    <row r="1432" spans="1:16" ht="15" thickBot="1" x14ac:dyDescent="0.35">
      <c r="A1432" s="79" t="s">
        <v>166</v>
      </c>
      <c r="C1432" s="80"/>
      <c r="D1432" s="125"/>
      <c r="E1432" s="78"/>
      <c r="F1432" s="78"/>
      <c r="G1432" s="78"/>
      <c r="P1432" s="189"/>
    </row>
    <row r="1433" spans="1:16" ht="15" thickTop="1" x14ac:dyDescent="0.3">
      <c r="A1433" s="84" t="s">
        <v>3</v>
      </c>
      <c r="B1433" s="85" t="s">
        <v>135</v>
      </c>
      <c r="C1433" s="86" t="s">
        <v>5</v>
      </c>
      <c r="D1433" s="87" t="s">
        <v>6</v>
      </c>
      <c r="E1433" s="88" t="s">
        <v>28</v>
      </c>
      <c r="F1433" s="88" t="s">
        <v>28</v>
      </c>
      <c r="G1433" s="89"/>
    </row>
    <row r="1434" spans="1:16" ht="15" thickBot="1" x14ac:dyDescent="0.35">
      <c r="A1434" s="90"/>
      <c r="B1434" s="91"/>
      <c r="C1434" s="92"/>
      <c r="D1434" s="93"/>
      <c r="E1434" s="94" t="s">
        <v>11</v>
      </c>
      <c r="F1434" s="94" t="s">
        <v>10</v>
      </c>
      <c r="G1434" s="89"/>
      <c r="P1434" s="189"/>
    </row>
    <row r="1435" spans="1:16" ht="15" thickTop="1" x14ac:dyDescent="0.3">
      <c r="A1435" s="95"/>
      <c r="B1435" s="95" t="s">
        <v>167</v>
      </c>
      <c r="C1435" s="126" t="s">
        <v>168</v>
      </c>
      <c r="D1435" s="127">
        <v>4</v>
      </c>
      <c r="E1435" s="134">
        <f>$F$22</f>
        <v>1238.96</v>
      </c>
      <c r="F1435" s="134">
        <f>ROUND(D1435*E1435,2)</f>
        <v>4955.84</v>
      </c>
      <c r="G1435" s="100"/>
    </row>
    <row r="1436" spans="1:16" x14ac:dyDescent="0.3">
      <c r="A1436" s="102"/>
      <c r="B1436" s="102"/>
      <c r="C1436" s="108"/>
      <c r="D1436" s="109"/>
      <c r="E1436" s="100"/>
      <c r="F1436" s="100"/>
      <c r="G1436" s="100"/>
      <c r="P1436" s="189"/>
    </row>
    <row r="1437" spans="1:16" x14ac:dyDescent="0.3">
      <c r="A1437" s="114"/>
      <c r="B1437" s="114"/>
      <c r="C1437" s="115"/>
      <c r="D1437" s="116" t="s">
        <v>170</v>
      </c>
      <c r="E1437" s="117"/>
      <c r="F1437" s="132"/>
      <c r="G1437" s="113">
        <f>SUM(F1435:F1436)</f>
        <v>4955.84</v>
      </c>
      <c r="H1437" s="91"/>
    </row>
    <row r="1438" spans="1:16" ht="15" thickBot="1" x14ac:dyDescent="0.35">
      <c r="C1438" s="80"/>
      <c r="D1438" s="125"/>
      <c r="E1438" s="78"/>
      <c r="F1438" s="78"/>
      <c r="G1438" s="117"/>
    </row>
    <row r="1439" spans="1:16" ht="15.6" thickTop="1" thickBot="1" x14ac:dyDescent="0.35">
      <c r="C1439" s="80"/>
      <c r="D1439" s="125" t="s">
        <v>171</v>
      </c>
      <c r="E1439" s="78"/>
      <c r="F1439" s="78"/>
      <c r="G1439" s="135">
        <f>SUM(G1430:G1437)</f>
        <v>7040.84</v>
      </c>
      <c r="H1439" s="136"/>
      <c r="P1439" s="189"/>
    </row>
    <row r="1440" spans="1:16" ht="15" thickTop="1" x14ac:dyDescent="0.3">
      <c r="C1440" s="80"/>
      <c r="D1440" s="125"/>
      <c r="E1440" s="78"/>
      <c r="F1440" s="78"/>
      <c r="G1440" s="137"/>
    </row>
    <row r="1441" spans="1:8" ht="15.6" x14ac:dyDescent="0.3">
      <c r="A1441" s="79" t="s">
        <v>128</v>
      </c>
      <c r="B1441" s="81" t="s">
        <v>271</v>
      </c>
      <c r="C1441" s="80"/>
      <c r="D1441" s="125"/>
      <c r="E1441" s="78"/>
      <c r="F1441" s="78"/>
      <c r="G1441" s="78"/>
    </row>
    <row r="1442" spans="1:8" ht="15.6" x14ac:dyDescent="0.3">
      <c r="A1442" s="79" t="s">
        <v>130</v>
      </c>
      <c r="B1442" s="81" t="s">
        <v>272</v>
      </c>
      <c r="C1442" s="80"/>
      <c r="D1442" s="125"/>
      <c r="E1442" s="78"/>
      <c r="F1442" s="78"/>
      <c r="G1442" s="78"/>
    </row>
    <row r="1443" spans="1:8" x14ac:dyDescent="0.3">
      <c r="C1443" s="80"/>
      <c r="D1443" s="125"/>
      <c r="E1443" s="78"/>
      <c r="F1443" s="78"/>
      <c r="G1443" s="78"/>
    </row>
    <row r="1444" spans="1:8" ht="15" thickBot="1" x14ac:dyDescent="0.35">
      <c r="A1444" s="79" t="s">
        <v>161</v>
      </c>
      <c r="C1444" s="80"/>
      <c r="D1444" s="125"/>
      <c r="E1444" s="78"/>
      <c r="F1444" s="78"/>
      <c r="G1444" s="78"/>
    </row>
    <row r="1445" spans="1:8" ht="15" thickTop="1" x14ac:dyDescent="0.3">
      <c r="A1445" s="84" t="s">
        <v>3</v>
      </c>
      <c r="B1445" s="85" t="s">
        <v>135</v>
      </c>
      <c r="C1445" s="86" t="s">
        <v>5</v>
      </c>
      <c r="D1445" s="87" t="s">
        <v>6</v>
      </c>
      <c r="E1445" s="88" t="s">
        <v>28</v>
      </c>
      <c r="F1445" s="88" t="s">
        <v>28</v>
      </c>
      <c r="G1445" s="89"/>
    </row>
    <row r="1446" spans="1:8" ht="15" thickBot="1" x14ac:dyDescent="0.35">
      <c r="A1446" s="90"/>
      <c r="B1446" s="91"/>
      <c r="C1446" s="92"/>
      <c r="D1446" s="93"/>
      <c r="E1446" s="94" t="s">
        <v>11</v>
      </c>
      <c r="F1446" s="94" t="s">
        <v>10</v>
      </c>
      <c r="G1446" s="89"/>
    </row>
    <row r="1447" spans="1:8" ht="15" thickTop="1" x14ac:dyDescent="0.3">
      <c r="A1447" s="95"/>
      <c r="B1447" s="95" t="str">
        <f>LISTA!C55</f>
        <v>Pintura especial para pizarron</v>
      </c>
      <c r="C1447" s="126" t="str">
        <f>LISTA!E55</f>
        <v>Lts</v>
      </c>
      <c r="D1447" s="127">
        <f>0.2*3.5</f>
        <v>0.70000000000000007</v>
      </c>
      <c r="E1447" s="134">
        <f>LISTA!F55</f>
        <v>729</v>
      </c>
      <c r="F1447" s="134">
        <f t="shared" ref="F1447:F1452" si="12">ROUND(D1447*E1447,2)</f>
        <v>510.3</v>
      </c>
      <c r="G1447" s="100"/>
    </row>
    <row r="1448" spans="1:8" x14ac:dyDescent="0.3">
      <c r="A1448" s="102"/>
      <c r="B1448" s="102" t="s">
        <v>273</v>
      </c>
      <c r="C1448" s="108" t="s">
        <v>41</v>
      </c>
      <c r="D1448" s="109">
        <f>7*1.2</f>
        <v>8.4</v>
      </c>
      <c r="E1448" s="100">
        <f>+G903</f>
        <v>1974.8</v>
      </c>
      <c r="F1448" s="100">
        <f>ROUND(D1448*E1448,2)</f>
        <v>16588.32</v>
      </c>
      <c r="G1448" s="102"/>
    </row>
    <row r="1449" spans="1:8" x14ac:dyDescent="0.3">
      <c r="A1449" s="102"/>
      <c r="B1449" s="102" t="str">
        <f>LISTA!C56</f>
        <v>Enduido plástico</v>
      </c>
      <c r="C1449" s="108" t="str">
        <f>LISTA!E56</f>
        <v>Kg</v>
      </c>
      <c r="D1449" s="109">
        <f>0.5*3.5</f>
        <v>1.75</v>
      </c>
      <c r="E1449" s="100">
        <f>LISTA!F56</f>
        <v>3400</v>
      </c>
      <c r="F1449" s="100">
        <f t="shared" si="12"/>
        <v>5950</v>
      </c>
      <c r="G1449" s="102"/>
    </row>
    <row r="1450" spans="1:8" x14ac:dyDescent="0.3">
      <c r="A1450" s="102"/>
      <c r="B1450" s="102" t="str">
        <f>LISTA!$C$59</f>
        <v>Listón perimetral de 3/4x2"</v>
      </c>
      <c r="C1450" s="108" t="str">
        <f>LISTA!$E$59</f>
        <v>Ml</v>
      </c>
      <c r="D1450" s="109">
        <v>7</v>
      </c>
      <c r="E1450" s="100">
        <f>LISTA!$F$59</f>
        <v>196</v>
      </c>
      <c r="F1450" s="100">
        <f t="shared" si="12"/>
        <v>1372</v>
      </c>
      <c r="G1450" s="102"/>
    </row>
    <row r="1451" spans="1:8" x14ac:dyDescent="0.3">
      <c r="A1451" s="102"/>
      <c r="B1451" s="102" t="str">
        <f>LISTA!$C$61</f>
        <v>Portatiza de madera dura</v>
      </c>
      <c r="C1451" s="108" t="str">
        <f>LISTA!$E$61</f>
        <v>Ml</v>
      </c>
      <c r="D1451" s="109">
        <v>7</v>
      </c>
      <c r="E1451" s="100">
        <f>LISTA!$F$61</f>
        <v>1000</v>
      </c>
      <c r="F1451" s="100">
        <f t="shared" si="12"/>
        <v>7000</v>
      </c>
      <c r="G1451" s="100"/>
    </row>
    <row r="1452" spans="1:8" x14ac:dyDescent="0.3">
      <c r="A1452" s="102"/>
      <c r="B1452" s="102" t="str">
        <f>LISTA!$C$64</f>
        <v>Tornillo de bce c/tacos fischer</v>
      </c>
      <c r="C1452" s="108" t="str">
        <f>LISTA!$E$64</f>
        <v>Nº</v>
      </c>
      <c r="D1452" s="109">
        <v>4</v>
      </c>
      <c r="E1452" s="100">
        <f>LISTA!$F$64</f>
        <v>765</v>
      </c>
      <c r="F1452" s="100">
        <f t="shared" si="12"/>
        <v>3060</v>
      </c>
      <c r="G1452" s="100"/>
    </row>
    <row r="1453" spans="1:8" x14ac:dyDescent="0.3">
      <c r="A1453" s="114"/>
      <c r="B1453" s="114"/>
      <c r="C1453" s="115"/>
      <c r="D1453" s="116" t="s">
        <v>165</v>
      </c>
      <c r="E1453" s="117"/>
      <c r="F1453" s="132"/>
      <c r="G1453" s="113">
        <f>SUM(F1447:F1452)</f>
        <v>34480.619999999995</v>
      </c>
      <c r="H1453" s="91"/>
    </row>
    <row r="1454" spans="1:8" ht="15" thickBot="1" x14ac:dyDescent="0.35">
      <c r="A1454" s="79" t="s">
        <v>166</v>
      </c>
      <c r="C1454" s="80"/>
      <c r="D1454" s="125"/>
      <c r="E1454" s="78"/>
      <c r="F1454" s="78"/>
      <c r="G1454" s="117"/>
    </row>
    <row r="1455" spans="1:8" ht="15" thickTop="1" x14ac:dyDescent="0.3">
      <c r="A1455" s="84" t="s">
        <v>3</v>
      </c>
      <c r="B1455" s="85" t="s">
        <v>135</v>
      </c>
      <c r="C1455" s="86" t="s">
        <v>5</v>
      </c>
      <c r="D1455" s="87" t="s">
        <v>6</v>
      </c>
      <c r="E1455" s="88" t="s">
        <v>28</v>
      </c>
      <c r="F1455" s="88" t="s">
        <v>28</v>
      </c>
      <c r="G1455" s="89"/>
    </row>
    <row r="1456" spans="1:8" ht="15" thickBot="1" x14ac:dyDescent="0.35">
      <c r="A1456" s="90"/>
      <c r="B1456" s="91"/>
      <c r="C1456" s="92"/>
      <c r="D1456" s="93"/>
      <c r="E1456" s="94" t="s">
        <v>11</v>
      </c>
      <c r="F1456" s="94" t="s">
        <v>10</v>
      </c>
      <c r="G1456" s="89"/>
    </row>
    <row r="1457" spans="1:8" ht="15" thickTop="1" x14ac:dyDescent="0.3">
      <c r="A1457" s="95"/>
      <c r="B1457" s="95" t="s">
        <v>167</v>
      </c>
      <c r="C1457" s="126" t="s">
        <v>168</v>
      </c>
      <c r="D1457" s="127">
        <v>12</v>
      </c>
      <c r="E1457" s="134">
        <f>$F$22*1.2</f>
        <v>1486.752</v>
      </c>
      <c r="F1457" s="134">
        <f>ROUND(D1457*E1457,2)</f>
        <v>17841.02</v>
      </c>
      <c r="G1457" s="100"/>
    </row>
    <row r="1458" spans="1:8" x14ac:dyDescent="0.3">
      <c r="A1458" s="102"/>
      <c r="B1458" s="102" t="s">
        <v>221</v>
      </c>
      <c r="C1458" s="108" t="s">
        <v>168</v>
      </c>
      <c r="D1458" s="109">
        <v>8</v>
      </c>
      <c r="E1458" s="100">
        <f>$F$39</f>
        <v>386.38</v>
      </c>
      <c r="F1458" s="100">
        <f>ROUND(D1458*E1458,2)</f>
        <v>3091.04</v>
      </c>
      <c r="G1458" s="100"/>
    </row>
    <row r="1459" spans="1:8" x14ac:dyDescent="0.3">
      <c r="A1459" s="114"/>
      <c r="B1459" s="114"/>
      <c r="C1459" s="115"/>
      <c r="D1459" s="116" t="s">
        <v>170</v>
      </c>
      <c r="E1459" s="117"/>
      <c r="F1459" s="132"/>
      <c r="G1459" s="113">
        <f>SUM(F1457:F1458)</f>
        <v>20932.060000000001</v>
      </c>
      <c r="H1459" s="91"/>
    </row>
    <row r="1460" spans="1:8" ht="15" thickBot="1" x14ac:dyDescent="0.35">
      <c r="C1460" s="80"/>
      <c r="D1460" s="125"/>
      <c r="E1460" s="78"/>
      <c r="F1460" s="78"/>
      <c r="G1460" s="117"/>
    </row>
    <row r="1461" spans="1:8" ht="15.6" thickTop="1" thickBot="1" x14ac:dyDescent="0.35">
      <c r="C1461" s="80"/>
      <c r="D1461" s="125" t="s">
        <v>171</v>
      </c>
      <c r="E1461" s="78"/>
      <c r="F1461" s="78"/>
      <c r="G1461" s="135">
        <f>SUM(G1453:G1459)</f>
        <v>55412.679999999993</v>
      </c>
      <c r="H1461" s="136"/>
    </row>
    <row r="1462" spans="1:8" ht="15" thickTop="1" x14ac:dyDescent="0.3">
      <c r="C1462" s="80"/>
      <c r="G1462" s="190"/>
    </row>
    <row r="1463" spans="1:8" ht="15.6" x14ac:dyDescent="0.3">
      <c r="A1463" s="79" t="s">
        <v>128</v>
      </c>
      <c r="B1463" s="81" t="s">
        <v>274</v>
      </c>
      <c r="C1463" s="80"/>
      <c r="D1463" s="125"/>
      <c r="E1463" s="78"/>
      <c r="F1463" s="78"/>
      <c r="G1463" s="78"/>
    </row>
    <row r="1464" spans="1:8" ht="15.6" x14ac:dyDescent="0.3">
      <c r="A1464" s="79" t="s">
        <v>130</v>
      </c>
      <c r="B1464" s="81" t="s">
        <v>204</v>
      </c>
      <c r="C1464" s="80"/>
      <c r="D1464" s="125"/>
      <c r="E1464" s="78"/>
      <c r="F1464" s="78"/>
      <c r="G1464" s="78"/>
    </row>
    <row r="1465" spans="1:8" x14ac:dyDescent="0.3">
      <c r="C1465" s="80"/>
      <c r="D1465" s="125"/>
      <c r="E1465" s="78"/>
      <c r="F1465" s="78"/>
      <c r="G1465" s="78"/>
    </row>
    <row r="1466" spans="1:8" ht="15" thickBot="1" x14ac:dyDescent="0.35">
      <c r="A1466" s="79" t="s">
        <v>161</v>
      </c>
      <c r="C1466" s="80"/>
      <c r="D1466" s="125"/>
      <c r="E1466" s="78"/>
      <c r="F1466" s="78"/>
      <c r="G1466" s="78"/>
    </row>
    <row r="1467" spans="1:8" ht="15" thickTop="1" x14ac:dyDescent="0.3">
      <c r="A1467" s="84" t="s">
        <v>3</v>
      </c>
      <c r="B1467" s="85" t="s">
        <v>135</v>
      </c>
      <c r="C1467" s="86" t="s">
        <v>5</v>
      </c>
      <c r="D1467" s="87" t="s">
        <v>6</v>
      </c>
      <c r="E1467" s="88" t="s">
        <v>28</v>
      </c>
      <c r="F1467" s="88" t="s">
        <v>28</v>
      </c>
      <c r="G1467" s="89"/>
    </row>
    <row r="1468" spans="1:8" ht="15" thickBot="1" x14ac:dyDescent="0.35">
      <c r="A1468" s="90"/>
      <c r="B1468" s="91"/>
      <c r="C1468" s="92"/>
      <c r="D1468" s="93"/>
      <c r="E1468" s="94" t="s">
        <v>11</v>
      </c>
      <c r="F1468" s="94" t="s">
        <v>10</v>
      </c>
      <c r="G1468" s="89"/>
    </row>
    <row r="1469" spans="1:8" ht="15" thickTop="1" x14ac:dyDescent="0.3">
      <c r="A1469" s="95"/>
      <c r="B1469" s="95" t="str">
        <f>LISTA!$C$60</f>
        <v>Listón perimetral de 3/4x4"</v>
      </c>
      <c r="C1469" s="126" t="str">
        <f>LISTA!$E$60</f>
        <v>Ml</v>
      </c>
      <c r="D1469" s="127">
        <v>1</v>
      </c>
      <c r="E1469" s="134">
        <v>15</v>
      </c>
      <c r="F1469" s="134">
        <f>ROUND(D1469*E1469,2)</f>
        <v>15</v>
      </c>
      <c r="G1469" s="102"/>
    </row>
    <row r="1470" spans="1:8" x14ac:dyDescent="0.3">
      <c r="A1470" s="102"/>
      <c r="B1470" s="102" t="str">
        <f>LISTA!$C$64</f>
        <v>Tornillo de bce c/tacos fischer</v>
      </c>
      <c r="C1470" s="108" t="str">
        <f>LISTA!$E$64</f>
        <v>Nº</v>
      </c>
      <c r="D1470" s="109">
        <v>2</v>
      </c>
      <c r="E1470" s="100">
        <f>LISTA!$F$64</f>
        <v>765</v>
      </c>
      <c r="F1470" s="100">
        <f>ROUND(D1470*E1470,2)</f>
        <v>1530</v>
      </c>
      <c r="G1470" s="100"/>
    </row>
    <row r="1471" spans="1:8" x14ac:dyDescent="0.3">
      <c r="A1471" s="114"/>
      <c r="B1471" s="114"/>
      <c r="C1471" s="115"/>
      <c r="D1471" s="116" t="s">
        <v>165</v>
      </c>
      <c r="E1471" s="117"/>
      <c r="F1471" s="132"/>
      <c r="G1471" s="113">
        <f>SUM(F1469:F1470)</f>
        <v>1545</v>
      </c>
      <c r="H1471" s="91"/>
    </row>
    <row r="1472" spans="1:8" ht="15" thickBot="1" x14ac:dyDescent="0.35">
      <c r="A1472" s="79" t="s">
        <v>166</v>
      </c>
      <c r="C1472" s="80"/>
      <c r="D1472" s="125"/>
      <c r="E1472" s="78"/>
      <c r="F1472" s="78"/>
      <c r="G1472" s="117"/>
    </row>
    <row r="1473" spans="1:12" ht="15" thickTop="1" x14ac:dyDescent="0.3">
      <c r="A1473" s="84" t="s">
        <v>3</v>
      </c>
      <c r="B1473" s="85" t="s">
        <v>135</v>
      </c>
      <c r="C1473" s="86" t="s">
        <v>5</v>
      </c>
      <c r="D1473" s="87" t="s">
        <v>6</v>
      </c>
      <c r="E1473" s="88" t="s">
        <v>28</v>
      </c>
      <c r="F1473" s="88" t="s">
        <v>28</v>
      </c>
      <c r="G1473" s="89"/>
    </row>
    <row r="1474" spans="1:12" ht="15" thickBot="1" x14ac:dyDescent="0.35">
      <c r="A1474" s="90"/>
      <c r="B1474" s="91"/>
      <c r="C1474" s="92"/>
      <c r="D1474" s="93"/>
      <c r="E1474" s="94" t="s">
        <v>11</v>
      </c>
      <c r="F1474" s="94" t="s">
        <v>10</v>
      </c>
      <c r="G1474" s="89"/>
    </row>
    <row r="1475" spans="1:12" ht="15" thickTop="1" x14ac:dyDescent="0.3">
      <c r="A1475" s="95"/>
      <c r="B1475" s="95" t="s">
        <v>167</v>
      </c>
      <c r="C1475" s="126" t="s">
        <v>168</v>
      </c>
      <c r="D1475" s="127">
        <v>0.3</v>
      </c>
      <c r="E1475" s="134">
        <f>$F$22*1.2</f>
        <v>1486.752</v>
      </c>
      <c r="F1475" s="134">
        <f>ROUND(D1475*E1475,2)</f>
        <v>446.03</v>
      </c>
      <c r="G1475" s="100"/>
    </row>
    <row r="1476" spans="1:12" x14ac:dyDescent="0.3">
      <c r="A1476" s="102"/>
      <c r="B1476" s="102" t="s">
        <v>221</v>
      </c>
      <c r="C1476" s="108" t="s">
        <v>168</v>
      </c>
      <c r="D1476" s="109">
        <v>0.15</v>
      </c>
      <c r="E1476" s="100">
        <f>$F$39</f>
        <v>386.38</v>
      </c>
      <c r="F1476" s="100">
        <f>ROUND(D1476*E1476,2)</f>
        <v>57.96</v>
      </c>
      <c r="G1476" s="100"/>
    </row>
    <row r="1477" spans="1:12" x14ac:dyDescent="0.3">
      <c r="A1477" s="114"/>
      <c r="B1477" s="114"/>
      <c r="C1477" s="115"/>
      <c r="D1477" s="116" t="s">
        <v>170</v>
      </c>
      <c r="E1477" s="117"/>
      <c r="F1477" s="132"/>
      <c r="G1477" s="113">
        <f>SUM(F1475:F1476)</f>
        <v>503.98999999999995</v>
      </c>
      <c r="H1477" s="91"/>
    </row>
    <row r="1478" spans="1:12" ht="15" customHeight="1" thickBot="1" x14ac:dyDescent="0.35">
      <c r="C1478" s="80"/>
      <c r="D1478" s="125"/>
      <c r="E1478" s="78"/>
      <c r="F1478" s="78"/>
      <c r="G1478" s="117"/>
    </row>
    <row r="1479" spans="1:12" s="61" customFormat="1" thickTop="1" thickBot="1" x14ac:dyDescent="0.3">
      <c r="C1479" s="150"/>
      <c r="D1479" s="191" t="s">
        <v>171</v>
      </c>
      <c r="E1479" s="152"/>
      <c r="F1479" s="152"/>
      <c r="G1479" s="183">
        <f>SUM(G1471:G1477)</f>
        <v>2048.9899999999998</v>
      </c>
      <c r="H1479" s="184"/>
      <c r="K1479" s="153"/>
      <c r="L1479" s="101"/>
    </row>
    <row r="1480" spans="1:12" s="61" customFormat="1" ht="16.5" customHeight="1" thickTop="1" x14ac:dyDescent="0.25">
      <c r="C1480" s="150"/>
      <c r="D1480" s="192"/>
      <c r="G1480" s="193"/>
      <c r="K1480" s="153"/>
      <c r="L1480" s="101"/>
    </row>
    <row r="1481" spans="1:12" s="61" customFormat="1" ht="15.6" x14ac:dyDescent="0.3">
      <c r="A1481" s="61" t="s">
        <v>128</v>
      </c>
      <c r="B1481" s="60" t="s">
        <v>275</v>
      </c>
      <c r="C1481" s="150"/>
      <c r="D1481" s="151"/>
      <c r="E1481" s="152"/>
      <c r="F1481" s="152"/>
      <c r="G1481" s="152"/>
      <c r="K1481" s="153"/>
      <c r="L1481" s="101"/>
    </row>
    <row r="1482" spans="1:12" s="61" customFormat="1" ht="15.6" x14ac:dyDescent="0.3">
      <c r="A1482" s="61" t="s">
        <v>130</v>
      </c>
      <c r="B1482" s="60" t="s">
        <v>204</v>
      </c>
      <c r="C1482" s="150"/>
      <c r="D1482" s="151"/>
      <c r="E1482" s="152"/>
      <c r="F1482" s="152"/>
      <c r="G1482" s="152"/>
      <c r="K1482" s="153"/>
      <c r="L1482" s="101"/>
    </row>
    <row r="1483" spans="1:12" s="61" customFormat="1" ht="13.2" x14ac:dyDescent="0.25">
      <c r="C1483" s="150"/>
      <c r="D1483" s="151"/>
      <c r="E1483" s="152"/>
      <c r="F1483" s="152"/>
      <c r="G1483" s="152"/>
      <c r="K1483" s="153"/>
      <c r="L1483" s="101"/>
    </row>
    <row r="1484" spans="1:12" s="61" customFormat="1" ht="13.8" thickBot="1" x14ac:dyDescent="0.3">
      <c r="A1484" s="61" t="s">
        <v>161</v>
      </c>
      <c r="C1484" s="150"/>
      <c r="D1484" s="151"/>
      <c r="E1484" s="152"/>
      <c r="F1484" s="152"/>
      <c r="G1484" s="152"/>
      <c r="K1484" s="153"/>
      <c r="L1484" s="101"/>
    </row>
    <row r="1485" spans="1:12" s="61" customFormat="1" ht="13.8" thickTop="1" x14ac:dyDescent="0.25">
      <c r="A1485" s="154" t="s">
        <v>3</v>
      </c>
      <c r="B1485" s="155" t="s">
        <v>135</v>
      </c>
      <c r="C1485" s="156" t="s">
        <v>5</v>
      </c>
      <c r="D1485" s="157" t="s">
        <v>6</v>
      </c>
      <c r="E1485" s="158" t="s">
        <v>28</v>
      </c>
      <c r="F1485" s="158" t="s">
        <v>28</v>
      </c>
      <c r="G1485" s="159"/>
      <c r="K1485" s="153"/>
      <c r="L1485" s="101"/>
    </row>
    <row r="1486" spans="1:12" s="61" customFormat="1" ht="13.8" thickBot="1" x14ac:dyDescent="0.3">
      <c r="A1486" s="160"/>
      <c r="B1486" s="161"/>
      <c r="C1486" s="162"/>
      <c r="D1486" s="163"/>
      <c r="E1486" s="164" t="s">
        <v>11</v>
      </c>
      <c r="F1486" s="164" t="s">
        <v>10</v>
      </c>
      <c r="G1486" s="159"/>
      <c r="K1486" s="153"/>
      <c r="L1486" s="101"/>
    </row>
    <row r="1487" spans="1:12" s="61" customFormat="1" ht="13.8" thickTop="1" x14ac:dyDescent="0.25">
      <c r="A1487" s="165"/>
      <c r="B1487" s="166" t="s">
        <v>276</v>
      </c>
      <c r="C1487" s="167" t="s">
        <v>69</v>
      </c>
      <c r="D1487" s="168">
        <v>3</v>
      </c>
      <c r="E1487" s="169">
        <v>25</v>
      </c>
      <c r="F1487" s="169">
        <f t="shared" ref="F1487:F1493" si="13">ROUND(D1487*E1487,2)</f>
        <v>75</v>
      </c>
      <c r="G1487" s="170"/>
      <c r="K1487" s="153"/>
      <c r="L1487" s="101"/>
    </row>
    <row r="1488" spans="1:12" s="61" customFormat="1" ht="13.2" x14ac:dyDescent="0.25">
      <c r="A1488" s="171"/>
      <c r="B1488" s="172" t="s">
        <v>277</v>
      </c>
      <c r="C1488" s="173" t="s">
        <v>69</v>
      </c>
      <c r="D1488" s="174">
        <v>3</v>
      </c>
      <c r="E1488" s="170">
        <v>30</v>
      </c>
      <c r="F1488" s="170">
        <f t="shared" si="13"/>
        <v>90</v>
      </c>
      <c r="G1488" s="171"/>
      <c r="K1488" s="153"/>
      <c r="L1488" s="101"/>
    </row>
    <row r="1489" spans="1:12" s="61" customFormat="1" ht="13.2" x14ac:dyDescent="0.25">
      <c r="A1489" s="171"/>
      <c r="B1489" s="172" t="s">
        <v>278</v>
      </c>
      <c r="C1489" s="173" t="s">
        <v>61</v>
      </c>
      <c r="D1489" s="174">
        <v>6</v>
      </c>
      <c r="E1489" s="170">
        <v>50</v>
      </c>
      <c r="F1489" s="170">
        <f t="shared" si="13"/>
        <v>300</v>
      </c>
      <c r="G1489" s="170"/>
      <c r="K1489" s="153"/>
      <c r="L1489" s="101"/>
    </row>
    <row r="1490" spans="1:12" s="61" customFormat="1" ht="13.2" x14ac:dyDescent="0.25">
      <c r="A1490" s="171"/>
      <c r="B1490" s="172" t="s">
        <v>176</v>
      </c>
      <c r="C1490" s="173" t="s">
        <v>33</v>
      </c>
      <c r="D1490" s="174">
        <v>10</v>
      </c>
      <c r="E1490" s="170">
        <v>3.25</v>
      </c>
      <c r="F1490" s="170">
        <f t="shared" si="13"/>
        <v>32.5</v>
      </c>
      <c r="G1490" s="171"/>
      <c r="K1490" s="153"/>
      <c r="L1490" s="101"/>
    </row>
    <row r="1491" spans="1:12" s="61" customFormat="1" ht="13.2" x14ac:dyDescent="0.25">
      <c r="A1491" s="171"/>
      <c r="B1491" s="172" t="s">
        <v>279</v>
      </c>
      <c r="C1491" s="173" t="s">
        <v>33</v>
      </c>
      <c r="D1491" s="174">
        <v>15</v>
      </c>
      <c r="E1491" s="170">
        <v>0.5</v>
      </c>
      <c r="F1491" s="170">
        <f t="shared" si="13"/>
        <v>7.5</v>
      </c>
      <c r="G1491" s="171"/>
      <c r="K1491" s="153"/>
      <c r="L1491" s="101"/>
    </row>
    <row r="1492" spans="1:12" s="61" customFormat="1" ht="13.2" x14ac:dyDescent="0.25">
      <c r="A1492" s="171"/>
      <c r="B1492" s="172" t="s">
        <v>280</v>
      </c>
      <c r="C1492" s="173" t="s">
        <v>41</v>
      </c>
      <c r="D1492" s="174">
        <v>2</v>
      </c>
      <c r="E1492" s="170">
        <v>3</v>
      </c>
      <c r="F1492" s="170">
        <f>ROUND(D1492*E1492,2)</f>
        <v>6</v>
      </c>
      <c r="G1492" s="171"/>
      <c r="K1492" s="153"/>
      <c r="L1492" s="101"/>
    </row>
    <row r="1493" spans="1:12" s="61" customFormat="1" ht="13.2" x14ac:dyDescent="0.25">
      <c r="A1493" s="171"/>
      <c r="B1493" s="194" t="s">
        <v>281</v>
      </c>
      <c r="C1493" s="173" t="s">
        <v>1</v>
      </c>
      <c r="D1493" s="174">
        <v>1</v>
      </c>
      <c r="E1493" s="170">
        <v>650</v>
      </c>
      <c r="F1493" s="170">
        <f t="shared" si="13"/>
        <v>650</v>
      </c>
      <c r="G1493" s="171"/>
      <c r="K1493" s="153"/>
      <c r="L1493" s="101"/>
    </row>
    <row r="1494" spans="1:12" s="61" customFormat="1" ht="13.2" x14ac:dyDescent="0.25">
      <c r="A1494" s="175"/>
      <c r="B1494" s="175"/>
      <c r="C1494" s="176"/>
      <c r="D1494" s="177" t="s">
        <v>165</v>
      </c>
      <c r="E1494" s="178"/>
      <c r="F1494" s="179"/>
      <c r="G1494" s="180">
        <f>SUM(F1487:F1493)</f>
        <v>1161</v>
      </c>
      <c r="H1494" s="161"/>
      <c r="K1494" s="153"/>
      <c r="L1494" s="101"/>
    </row>
    <row r="1495" spans="1:12" s="61" customFormat="1" ht="13.8" thickBot="1" x14ac:dyDescent="0.3">
      <c r="A1495" s="61" t="s">
        <v>166</v>
      </c>
      <c r="C1495" s="150"/>
      <c r="D1495" s="151"/>
      <c r="E1495" s="152"/>
      <c r="F1495" s="152"/>
      <c r="G1495" s="178"/>
      <c r="K1495" s="153"/>
      <c r="L1495" s="101"/>
    </row>
    <row r="1496" spans="1:12" s="61" customFormat="1" ht="13.8" thickTop="1" x14ac:dyDescent="0.25">
      <c r="A1496" s="154" t="s">
        <v>3</v>
      </c>
      <c r="B1496" s="155" t="s">
        <v>135</v>
      </c>
      <c r="C1496" s="156" t="s">
        <v>5</v>
      </c>
      <c r="D1496" s="157" t="s">
        <v>6</v>
      </c>
      <c r="E1496" s="158" t="s">
        <v>28</v>
      </c>
      <c r="F1496" s="158" t="s">
        <v>28</v>
      </c>
      <c r="G1496" s="159"/>
      <c r="K1496" s="153"/>
      <c r="L1496" s="101"/>
    </row>
    <row r="1497" spans="1:12" s="61" customFormat="1" ht="13.8" thickBot="1" x14ac:dyDescent="0.3">
      <c r="A1497" s="160"/>
      <c r="B1497" s="161"/>
      <c r="C1497" s="162"/>
      <c r="D1497" s="163"/>
      <c r="E1497" s="164" t="s">
        <v>11</v>
      </c>
      <c r="F1497" s="164" t="s">
        <v>10</v>
      </c>
      <c r="G1497" s="159"/>
      <c r="K1497" s="153"/>
      <c r="L1497" s="101"/>
    </row>
    <row r="1498" spans="1:12" s="61" customFormat="1" ht="13.8" thickTop="1" x14ac:dyDescent="0.25">
      <c r="A1498" s="165"/>
      <c r="B1498" s="165" t="s">
        <v>255</v>
      </c>
      <c r="C1498" s="167" t="s">
        <v>168</v>
      </c>
      <c r="D1498" s="181">
        <v>300</v>
      </c>
      <c r="E1498" s="169">
        <f>$F$22*1.2</f>
        <v>1486.752</v>
      </c>
      <c r="F1498" s="169">
        <f>ROUND(D1498*E1498,2)</f>
        <v>446025.6</v>
      </c>
      <c r="G1498" s="170"/>
      <c r="K1498" s="153"/>
      <c r="L1498" s="101"/>
    </row>
    <row r="1499" spans="1:12" s="61" customFormat="1" ht="13.2" x14ac:dyDescent="0.25">
      <c r="A1499" s="171"/>
      <c r="B1499" s="171" t="s">
        <v>167</v>
      </c>
      <c r="C1499" s="173" t="s">
        <v>168</v>
      </c>
      <c r="D1499" s="182">
        <v>48</v>
      </c>
      <c r="E1499" s="170">
        <f>$F$22</f>
        <v>1238.96</v>
      </c>
      <c r="F1499" s="170">
        <f>ROUND(D1499*E1499,2)</f>
        <v>59470.080000000002</v>
      </c>
      <c r="G1499" s="170"/>
      <c r="K1499" s="153"/>
      <c r="L1499" s="101"/>
    </row>
    <row r="1500" spans="1:12" s="61" customFormat="1" ht="13.2" x14ac:dyDescent="0.25">
      <c r="A1500" s="171"/>
      <c r="B1500" s="171" t="s">
        <v>221</v>
      </c>
      <c r="C1500" s="173" t="s">
        <v>168</v>
      </c>
      <c r="D1500" s="182">
        <v>96</v>
      </c>
      <c r="E1500" s="170">
        <f>$F$39</f>
        <v>386.38</v>
      </c>
      <c r="F1500" s="170">
        <f>ROUND(D1500*E1500,2)</f>
        <v>37092.480000000003</v>
      </c>
      <c r="G1500" s="170"/>
      <c r="K1500" s="153"/>
      <c r="L1500" s="101"/>
    </row>
    <row r="1501" spans="1:12" s="61" customFormat="1" ht="13.2" x14ac:dyDescent="0.25">
      <c r="A1501" s="175"/>
      <c r="B1501" s="175"/>
      <c r="C1501" s="176"/>
      <c r="D1501" s="177" t="s">
        <v>170</v>
      </c>
      <c r="E1501" s="178"/>
      <c r="F1501" s="179"/>
      <c r="G1501" s="180">
        <f>SUM(F1498:F1500)</f>
        <v>542588.16000000003</v>
      </c>
      <c r="H1501" s="161"/>
      <c r="K1501" s="153"/>
      <c r="L1501" s="101"/>
    </row>
    <row r="1502" spans="1:12" s="61" customFormat="1" ht="13.8" thickBot="1" x14ac:dyDescent="0.3">
      <c r="C1502" s="150"/>
      <c r="D1502" s="151"/>
      <c r="E1502" s="152"/>
      <c r="F1502" s="152"/>
      <c r="G1502" s="178"/>
      <c r="K1502" s="153"/>
      <c r="L1502" s="101"/>
    </row>
    <row r="1503" spans="1:12" s="61" customFormat="1" thickTop="1" thickBot="1" x14ac:dyDescent="0.3">
      <c r="C1503" s="150"/>
      <c r="D1503" s="151" t="s">
        <v>171</v>
      </c>
      <c r="E1503" s="152"/>
      <c r="F1503" s="152"/>
      <c r="G1503" s="183">
        <f>SUM(G1494:G1501)</f>
        <v>543749.16</v>
      </c>
      <c r="H1503" s="184"/>
      <c r="K1503" s="153"/>
      <c r="L1503" s="101"/>
    </row>
    <row r="1504" spans="1:12" ht="15" thickTop="1" x14ac:dyDescent="0.3">
      <c r="C1504" s="185"/>
      <c r="D1504" s="186"/>
      <c r="E1504" s="187"/>
      <c r="F1504" s="187"/>
      <c r="G1504" s="188"/>
    </row>
    <row r="1505" spans="1:12" s="61" customFormat="1" ht="15.6" x14ac:dyDescent="0.3">
      <c r="A1505" s="61" t="s">
        <v>128</v>
      </c>
      <c r="B1505" s="60" t="s">
        <v>282</v>
      </c>
      <c r="C1505" s="150"/>
      <c r="D1505" s="151"/>
      <c r="E1505" s="152"/>
      <c r="F1505" s="152"/>
      <c r="G1505" s="152"/>
      <c r="K1505" s="153"/>
      <c r="L1505" s="101"/>
    </row>
    <row r="1506" spans="1:12" s="61" customFormat="1" ht="15.6" x14ac:dyDescent="0.3">
      <c r="A1506" s="61" t="s">
        <v>130</v>
      </c>
      <c r="B1506" s="60" t="s">
        <v>272</v>
      </c>
      <c r="C1506" s="150"/>
      <c r="D1506" s="151"/>
      <c r="E1506" s="152"/>
      <c r="F1506" s="152"/>
      <c r="G1506" s="152"/>
      <c r="K1506" s="153"/>
      <c r="L1506" s="101"/>
    </row>
    <row r="1507" spans="1:12" s="61" customFormat="1" ht="13.2" x14ac:dyDescent="0.25">
      <c r="C1507" s="150"/>
      <c r="D1507" s="151"/>
      <c r="E1507" s="152"/>
      <c r="F1507" s="152"/>
      <c r="G1507" s="152"/>
      <c r="K1507" s="153"/>
      <c r="L1507" s="101"/>
    </row>
    <row r="1508" spans="1:12" s="61" customFormat="1" ht="13.8" thickBot="1" x14ac:dyDescent="0.3">
      <c r="A1508" s="61" t="s">
        <v>161</v>
      </c>
      <c r="C1508" s="150"/>
      <c r="D1508" s="151"/>
      <c r="E1508" s="152"/>
      <c r="F1508" s="152"/>
      <c r="G1508" s="152"/>
      <c r="K1508" s="153"/>
      <c r="L1508" s="101"/>
    </row>
    <row r="1509" spans="1:12" s="61" customFormat="1" ht="13.8" thickTop="1" x14ac:dyDescent="0.25">
      <c r="A1509" s="154" t="s">
        <v>3</v>
      </c>
      <c r="B1509" s="155" t="s">
        <v>135</v>
      </c>
      <c r="C1509" s="156" t="s">
        <v>5</v>
      </c>
      <c r="D1509" s="157" t="s">
        <v>6</v>
      </c>
      <c r="E1509" s="158" t="s">
        <v>28</v>
      </c>
      <c r="F1509" s="158" t="s">
        <v>28</v>
      </c>
      <c r="G1509" s="159"/>
      <c r="K1509" s="153"/>
      <c r="L1509" s="101"/>
    </row>
    <row r="1510" spans="1:12" s="61" customFormat="1" ht="13.8" thickBot="1" x14ac:dyDescent="0.3">
      <c r="A1510" s="160"/>
      <c r="B1510" s="161"/>
      <c r="C1510" s="162"/>
      <c r="D1510" s="163"/>
      <c r="E1510" s="164" t="s">
        <v>11</v>
      </c>
      <c r="F1510" s="164" t="s">
        <v>10</v>
      </c>
      <c r="G1510" s="159"/>
      <c r="K1510" s="153"/>
      <c r="L1510" s="101"/>
    </row>
    <row r="1511" spans="1:12" s="61" customFormat="1" ht="13.8" thickTop="1" x14ac:dyDescent="0.25">
      <c r="A1511" s="165"/>
      <c r="B1511" s="166" t="s">
        <v>247</v>
      </c>
      <c r="C1511" s="167" t="s">
        <v>35</v>
      </c>
      <c r="D1511" s="168">
        <f>6*3*2.2</f>
        <v>39.6</v>
      </c>
      <c r="E1511" s="169">
        <f>+$G$203</f>
        <v>1545.52</v>
      </c>
      <c r="F1511" s="169">
        <f t="shared" ref="F1511:F1519" si="14">ROUND(D1511*E1511,2)</f>
        <v>61202.59</v>
      </c>
      <c r="G1511" s="170"/>
      <c r="K1511" s="153"/>
      <c r="L1511" s="101"/>
    </row>
    <row r="1512" spans="1:12" s="61" customFormat="1" ht="13.2" x14ac:dyDescent="0.25">
      <c r="A1512" s="171"/>
      <c r="B1512" s="172" t="s">
        <v>283</v>
      </c>
      <c r="C1512" s="173" t="s">
        <v>35</v>
      </c>
      <c r="D1512" s="174">
        <f>5.8*3.2*0.15</f>
        <v>2.7839999999999998</v>
      </c>
      <c r="E1512" s="170">
        <f>+$G$244</f>
        <v>152259.5</v>
      </c>
      <c r="F1512" s="170">
        <f t="shared" si="14"/>
        <v>423890.45</v>
      </c>
      <c r="G1512" s="171"/>
      <c r="K1512" s="153"/>
      <c r="L1512" s="101"/>
    </row>
    <row r="1513" spans="1:12" s="61" customFormat="1" ht="13.2" x14ac:dyDescent="0.25">
      <c r="A1513" s="171"/>
      <c r="B1513" s="172" t="s">
        <v>284</v>
      </c>
      <c r="C1513" s="173" t="s">
        <v>35</v>
      </c>
      <c r="D1513" s="174">
        <f>17.2*2.5*0.3</f>
        <v>12.9</v>
      </c>
      <c r="E1513" s="170">
        <f>+$G$352</f>
        <v>88700.89</v>
      </c>
      <c r="F1513" s="170">
        <f t="shared" si="14"/>
        <v>1144241.48</v>
      </c>
      <c r="G1513" s="170"/>
      <c r="K1513" s="153"/>
      <c r="L1513" s="101"/>
    </row>
    <row r="1514" spans="1:12" s="61" customFormat="1" ht="13.2" x14ac:dyDescent="0.25">
      <c r="A1514" s="171"/>
      <c r="B1514" s="172" t="s">
        <v>250</v>
      </c>
      <c r="C1514" s="173" t="s">
        <v>251</v>
      </c>
      <c r="D1514" s="174">
        <f>17.2*3</f>
        <v>51.599999999999994</v>
      </c>
      <c r="E1514" s="170">
        <f>+$G$309</f>
        <v>856.67</v>
      </c>
      <c r="F1514" s="170">
        <f t="shared" si="14"/>
        <v>44204.17</v>
      </c>
      <c r="G1514" s="171"/>
      <c r="K1514" s="153"/>
      <c r="L1514" s="101"/>
    </row>
    <row r="1515" spans="1:12" s="61" customFormat="1" ht="13.2" x14ac:dyDescent="0.25">
      <c r="A1515" s="171"/>
      <c r="B1515" s="172" t="s">
        <v>285</v>
      </c>
      <c r="C1515" s="173" t="s">
        <v>35</v>
      </c>
      <c r="D1515" s="174">
        <v>3.2</v>
      </c>
      <c r="E1515" s="170">
        <f>+$G$290</f>
        <v>160846.1</v>
      </c>
      <c r="F1515" s="170">
        <f t="shared" si="14"/>
        <v>514707.52</v>
      </c>
      <c r="G1515" s="171"/>
      <c r="K1515" s="153"/>
      <c r="L1515" s="101"/>
    </row>
    <row r="1516" spans="1:12" s="61" customFormat="1" ht="13.2" x14ac:dyDescent="0.25">
      <c r="A1516" s="171"/>
      <c r="B1516" s="172" t="s">
        <v>286</v>
      </c>
      <c r="C1516" s="173" t="s">
        <v>41</v>
      </c>
      <c r="D1516" s="174">
        <f>17.2*2.4</f>
        <v>41.279999999999994</v>
      </c>
      <c r="E1516" s="170">
        <f>+$G$903*1.1</f>
        <v>2172.2800000000002</v>
      </c>
      <c r="F1516" s="170">
        <f t="shared" si="14"/>
        <v>89671.72</v>
      </c>
      <c r="G1516" s="171"/>
      <c r="K1516" s="153"/>
      <c r="L1516" s="101"/>
    </row>
    <row r="1517" spans="1:12" s="61" customFormat="1" ht="13.2" x14ac:dyDescent="0.25">
      <c r="A1517" s="171"/>
      <c r="B1517" s="172" t="s">
        <v>287</v>
      </c>
      <c r="C1517" s="173" t="s">
        <v>41</v>
      </c>
      <c r="D1517" s="174">
        <f>5.2*2.6</f>
        <v>13.520000000000001</v>
      </c>
      <c r="E1517" s="170">
        <f>+$G$749</f>
        <v>1322.26</v>
      </c>
      <c r="F1517" s="170">
        <f t="shared" si="14"/>
        <v>17876.96</v>
      </c>
      <c r="G1517" s="171"/>
      <c r="K1517" s="153"/>
      <c r="L1517" s="101"/>
    </row>
    <row r="1518" spans="1:12" s="61" customFormat="1" ht="13.2" x14ac:dyDescent="0.25">
      <c r="A1518" s="171"/>
      <c r="B1518" s="172" t="s">
        <v>262</v>
      </c>
      <c r="C1518" s="173" t="s">
        <v>41</v>
      </c>
      <c r="D1518" s="174">
        <f>5.2*2.6</f>
        <v>13.520000000000001</v>
      </c>
      <c r="E1518" s="170">
        <f>+$G$903</f>
        <v>1974.8</v>
      </c>
      <c r="F1518" s="170">
        <f t="shared" si="14"/>
        <v>26699.3</v>
      </c>
      <c r="G1518" s="171"/>
      <c r="K1518" s="153"/>
      <c r="L1518" s="101"/>
    </row>
    <row r="1519" spans="1:12" s="61" customFormat="1" ht="13.2" x14ac:dyDescent="0.25">
      <c r="A1519" s="171"/>
      <c r="B1519" s="194" t="s">
        <v>288</v>
      </c>
      <c r="C1519" s="173" t="s">
        <v>289</v>
      </c>
      <c r="D1519" s="174">
        <v>2</v>
      </c>
      <c r="E1519" s="170">
        <v>65</v>
      </c>
      <c r="F1519" s="170">
        <f t="shared" si="14"/>
        <v>130</v>
      </c>
      <c r="G1519" s="171"/>
      <c r="K1519" s="153"/>
      <c r="L1519" s="101"/>
    </row>
    <row r="1520" spans="1:12" s="61" customFormat="1" ht="13.2" x14ac:dyDescent="0.25">
      <c r="A1520" s="175"/>
      <c r="B1520" s="175"/>
      <c r="C1520" s="176"/>
      <c r="D1520" s="177" t="s">
        <v>165</v>
      </c>
      <c r="E1520" s="178"/>
      <c r="F1520" s="179"/>
      <c r="G1520" s="180">
        <f>SUM(F1511:F1519)</f>
        <v>2322624.19</v>
      </c>
      <c r="H1520" s="161"/>
      <c r="K1520" s="153"/>
      <c r="L1520" s="101"/>
    </row>
    <row r="1521" spans="1:12" s="61" customFormat="1" ht="13.8" thickBot="1" x14ac:dyDescent="0.3">
      <c r="A1521" s="61" t="s">
        <v>166</v>
      </c>
      <c r="C1521" s="150"/>
      <c r="D1521" s="151"/>
      <c r="E1521" s="152"/>
      <c r="F1521" s="152"/>
      <c r="G1521" s="178"/>
      <c r="K1521" s="153"/>
      <c r="L1521" s="101"/>
    </row>
    <row r="1522" spans="1:12" s="61" customFormat="1" ht="13.8" thickTop="1" x14ac:dyDescent="0.25">
      <c r="A1522" s="154" t="s">
        <v>3</v>
      </c>
      <c r="B1522" s="155" t="s">
        <v>135</v>
      </c>
      <c r="C1522" s="156" t="s">
        <v>5</v>
      </c>
      <c r="D1522" s="157" t="s">
        <v>6</v>
      </c>
      <c r="E1522" s="158" t="s">
        <v>28</v>
      </c>
      <c r="F1522" s="158" t="s">
        <v>28</v>
      </c>
      <c r="G1522" s="159"/>
      <c r="K1522" s="153"/>
      <c r="L1522" s="101"/>
    </row>
    <row r="1523" spans="1:12" s="61" customFormat="1" ht="13.8" thickBot="1" x14ac:dyDescent="0.3">
      <c r="A1523" s="160"/>
      <c r="B1523" s="161"/>
      <c r="C1523" s="162"/>
      <c r="D1523" s="163"/>
      <c r="E1523" s="164" t="s">
        <v>11</v>
      </c>
      <c r="F1523" s="164" t="s">
        <v>10</v>
      </c>
      <c r="G1523" s="159"/>
      <c r="K1523" s="153"/>
      <c r="L1523" s="101"/>
    </row>
    <row r="1524" spans="1:12" s="61" customFormat="1" ht="13.8" thickTop="1" x14ac:dyDescent="0.25">
      <c r="A1524" s="165"/>
      <c r="B1524" s="165" t="s">
        <v>255</v>
      </c>
      <c r="C1524" s="167" t="s">
        <v>168</v>
      </c>
      <c r="D1524" s="181">
        <v>0</v>
      </c>
      <c r="E1524" s="169">
        <f>$F$22*1.2</f>
        <v>1486.752</v>
      </c>
      <c r="F1524" s="169">
        <f>ROUND(D1524*E1524,2)</f>
        <v>0</v>
      </c>
      <c r="G1524" s="170"/>
      <c r="K1524" s="153"/>
      <c r="L1524" s="101"/>
    </row>
    <row r="1525" spans="1:12" s="61" customFormat="1" ht="13.2" x14ac:dyDescent="0.25">
      <c r="A1525" s="171"/>
      <c r="B1525" s="171" t="s">
        <v>167</v>
      </c>
      <c r="C1525" s="173" t="s">
        <v>168</v>
      </c>
      <c r="D1525" s="182">
        <v>30</v>
      </c>
      <c r="E1525" s="170">
        <f>$F$22</f>
        <v>1238.96</v>
      </c>
      <c r="F1525" s="170">
        <f>ROUND(D1525*E1525,2)</f>
        <v>37168.800000000003</v>
      </c>
      <c r="G1525" s="170"/>
      <c r="K1525" s="153"/>
      <c r="L1525" s="101"/>
    </row>
    <row r="1526" spans="1:12" s="61" customFormat="1" ht="13.2" x14ac:dyDescent="0.25">
      <c r="A1526" s="171"/>
      <c r="B1526" s="171" t="s">
        <v>221</v>
      </c>
      <c r="C1526" s="173" t="s">
        <v>168</v>
      </c>
      <c r="D1526" s="182">
        <v>50</v>
      </c>
      <c r="E1526" s="170">
        <f>$F$39</f>
        <v>386.38</v>
      </c>
      <c r="F1526" s="170">
        <f>ROUND(D1526*E1526,2)</f>
        <v>19319</v>
      </c>
      <c r="G1526" s="170"/>
      <c r="K1526" s="153"/>
      <c r="L1526" s="101"/>
    </row>
    <row r="1527" spans="1:12" s="61" customFormat="1" ht="13.2" x14ac:dyDescent="0.25">
      <c r="A1527" s="175"/>
      <c r="B1527" s="175"/>
      <c r="C1527" s="176"/>
      <c r="D1527" s="177" t="s">
        <v>170</v>
      </c>
      <c r="E1527" s="178"/>
      <c r="F1527" s="179"/>
      <c r="G1527" s="180">
        <f>SUM(F1524:F1526)</f>
        <v>56487.8</v>
      </c>
      <c r="H1527" s="161"/>
      <c r="K1527" s="153"/>
      <c r="L1527" s="101"/>
    </row>
    <row r="1528" spans="1:12" s="61" customFormat="1" ht="13.8" thickBot="1" x14ac:dyDescent="0.3">
      <c r="C1528" s="150"/>
      <c r="D1528" s="151"/>
      <c r="E1528" s="152"/>
      <c r="F1528" s="152"/>
      <c r="G1528" s="178"/>
      <c r="K1528" s="153"/>
      <c r="L1528" s="101"/>
    </row>
    <row r="1529" spans="1:12" s="61" customFormat="1" thickTop="1" thickBot="1" x14ac:dyDescent="0.3">
      <c r="C1529" s="150"/>
      <c r="D1529" s="151" t="s">
        <v>171</v>
      </c>
      <c r="E1529" s="152"/>
      <c r="F1529" s="152"/>
      <c r="G1529" s="183">
        <f>SUM(G1520:G1527)</f>
        <v>2379111.9899999998</v>
      </c>
      <c r="H1529" s="184"/>
      <c r="K1529" s="153"/>
      <c r="L1529" s="101"/>
    </row>
    <row r="1530" spans="1:12" ht="15" thickTop="1" x14ac:dyDescent="0.3">
      <c r="C1530" s="185"/>
      <c r="D1530" s="186"/>
      <c r="E1530" s="187"/>
      <c r="F1530" s="187"/>
      <c r="G1530" s="188"/>
    </row>
    <row r="1531" spans="1:12" s="61" customFormat="1" ht="15.6" x14ac:dyDescent="0.3">
      <c r="A1531" s="61" t="s">
        <v>128</v>
      </c>
      <c r="B1531" s="60" t="s">
        <v>290</v>
      </c>
      <c r="C1531" s="150"/>
      <c r="D1531" s="151"/>
      <c r="E1531" s="152"/>
      <c r="F1531" s="152"/>
      <c r="G1531" s="152"/>
      <c r="K1531" s="153"/>
      <c r="L1531" s="101"/>
    </row>
    <row r="1532" spans="1:12" s="61" customFormat="1" ht="15.6" x14ac:dyDescent="0.3">
      <c r="A1532" s="61" t="s">
        <v>130</v>
      </c>
      <c r="B1532" s="60" t="s">
        <v>272</v>
      </c>
      <c r="C1532" s="150"/>
      <c r="D1532" s="151"/>
      <c r="E1532" s="152"/>
      <c r="F1532" s="152"/>
      <c r="G1532" s="152"/>
      <c r="K1532" s="153"/>
      <c r="L1532" s="101"/>
    </row>
    <row r="1533" spans="1:12" s="61" customFormat="1" ht="13.2" x14ac:dyDescent="0.25">
      <c r="C1533" s="150"/>
      <c r="D1533" s="151"/>
      <c r="E1533" s="152"/>
      <c r="F1533" s="152"/>
      <c r="G1533" s="152"/>
      <c r="K1533" s="153"/>
      <c r="L1533" s="101"/>
    </row>
    <row r="1534" spans="1:12" s="61" customFormat="1" ht="13.8" thickBot="1" x14ac:dyDescent="0.3">
      <c r="A1534" s="61" t="s">
        <v>161</v>
      </c>
      <c r="C1534" s="150"/>
      <c r="D1534" s="151"/>
      <c r="E1534" s="152"/>
      <c r="F1534" s="152"/>
      <c r="G1534" s="152"/>
      <c r="K1534" s="153"/>
      <c r="L1534" s="101"/>
    </row>
    <row r="1535" spans="1:12" s="61" customFormat="1" ht="13.8" thickTop="1" x14ac:dyDescent="0.25">
      <c r="A1535" s="154" t="s">
        <v>3</v>
      </c>
      <c r="B1535" s="155" t="s">
        <v>135</v>
      </c>
      <c r="C1535" s="156" t="s">
        <v>5</v>
      </c>
      <c r="D1535" s="157" t="s">
        <v>6</v>
      </c>
      <c r="E1535" s="158" t="s">
        <v>28</v>
      </c>
      <c r="F1535" s="158" t="s">
        <v>28</v>
      </c>
      <c r="G1535" s="159"/>
      <c r="K1535" s="153"/>
      <c r="L1535" s="101"/>
    </row>
    <row r="1536" spans="1:12" s="61" customFormat="1" ht="13.8" thickBot="1" x14ac:dyDescent="0.3">
      <c r="A1536" s="160"/>
      <c r="B1536" s="161"/>
      <c r="C1536" s="162"/>
      <c r="D1536" s="163"/>
      <c r="E1536" s="164" t="s">
        <v>11</v>
      </c>
      <c r="F1536" s="164" t="s">
        <v>10</v>
      </c>
      <c r="G1536" s="159"/>
      <c r="K1536" s="153"/>
      <c r="L1536" s="101"/>
    </row>
    <row r="1537" spans="1:12" s="61" customFormat="1" ht="13.8" thickTop="1" x14ac:dyDescent="0.25">
      <c r="A1537" s="165"/>
      <c r="B1537" s="166" t="s">
        <v>247</v>
      </c>
      <c r="C1537" s="167" t="s">
        <v>35</v>
      </c>
      <c r="D1537" s="168">
        <v>20</v>
      </c>
      <c r="E1537" s="169">
        <f>+$G$203</f>
        <v>1545.52</v>
      </c>
      <c r="F1537" s="169">
        <f t="shared" ref="F1537:F1542" si="15">ROUND(D1537*E1537,2)</f>
        <v>30910.400000000001</v>
      </c>
      <c r="G1537" s="170"/>
      <c r="I1537" s="61">
        <f>3.15*2.3*2.3/4</f>
        <v>4.1658749999999989</v>
      </c>
      <c r="K1537" s="153"/>
      <c r="L1537" s="101"/>
    </row>
    <row r="1538" spans="1:12" s="61" customFormat="1" ht="13.2" x14ac:dyDescent="0.25">
      <c r="A1538" s="171"/>
      <c r="B1538" s="172" t="s">
        <v>291</v>
      </c>
      <c r="C1538" s="173" t="s">
        <v>35</v>
      </c>
      <c r="D1538" s="174">
        <v>0.3</v>
      </c>
      <c r="E1538" s="170">
        <f>+$G$244</f>
        <v>152259.5</v>
      </c>
      <c r="F1538" s="170">
        <f t="shared" si="15"/>
        <v>45677.85</v>
      </c>
      <c r="G1538" s="171"/>
      <c r="K1538" s="153"/>
      <c r="L1538" s="101"/>
    </row>
    <row r="1539" spans="1:12" s="61" customFormat="1" ht="13.2" x14ac:dyDescent="0.25">
      <c r="A1539" s="171"/>
      <c r="B1539" s="172" t="s">
        <v>284</v>
      </c>
      <c r="C1539" s="173" t="s">
        <v>35</v>
      </c>
      <c r="D1539" s="174">
        <f>4.2*5*0.3</f>
        <v>6.3</v>
      </c>
      <c r="E1539" s="170">
        <f>+$G$352</f>
        <v>88700.89</v>
      </c>
      <c r="F1539" s="170">
        <f t="shared" si="15"/>
        <v>558815.61</v>
      </c>
      <c r="G1539" s="170"/>
      <c r="K1539" s="153"/>
      <c r="L1539" s="101"/>
    </row>
    <row r="1540" spans="1:12" s="61" customFormat="1" ht="13.2" x14ac:dyDescent="0.25">
      <c r="A1540" s="171"/>
      <c r="B1540" s="172" t="s">
        <v>250</v>
      </c>
      <c r="C1540" s="173" t="s">
        <v>251</v>
      </c>
      <c r="D1540" s="174">
        <v>16</v>
      </c>
      <c r="E1540" s="170">
        <f>+$G$309</f>
        <v>856.67</v>
      </c>
      <c r="F1540" s="170">
        <f t="shared" si="15"/>
        <v>13706.72</v>
      </c>
      <c r="G1540" s="171"/>
      <c r="K1540" s="153"/>
      <c r="L1540" s="101"/>
    </row>
    <row r="1541" spans="1:12" s="61" customFormat="1" ht="13.2" x14ac:dyDescent="0.25">
      <c r="A1541" s="171"/>
      <c r="B1541" s="172" t="s">
        <v>285</v>
      </c>
      <c r="C1541" s="173" t="s">
        <v>35</v>
      </c>
      <c r="D1541" s="174">
        <f>4.2*0.12</f>
        <v>0.504</v>
      </c>
      <c r="E1541" s="170">
        <f>+$G$290</f>
        <v>160846.1</v>
      </c>
      <c r="F1541" s="170">
        <f t="shared" si="15"/>
        <v>81066.429999999993</v>
      </c>
      <c r="G1541" s="171"/>
      <c r="K1541" s="153"/>
      <c r="L1541" s="101"/>
    </row>
    <row r="1542" spans="1:12" s="61" customFormat="1" ht="13.2" x14ac:dyDescent="0.25">
      <c r="A1542" s="171"/>
      <c r="B1542" s="194" t="s">
        <v>292</v>
      </c>
      <c r="C1542" s="173" t="s">
        <v>289</v>
      </c>
      <c r="D1542" s="174">
        <v>1</v>
      </c>
      <c r="E1542" s="170">
        <v>25</v>
      </c>
      <c r="F1542" s="170">
        <f t="shared" si="15"/>
        <v>25</v>
      </c>
      <c r="G1542" s="171"/>
      <c r="K1542" s="153"/>
      <c r="L1542" s="101"/>
    </row>
    <row r="1543" spans="1:12" s="61" customFormat="1" ht="13.2" x14ac:dyDescent="0.25">
      <c r="A1543" s="175"/>
      <c r="B1543" s="175"/>
      <c r="C1543" s="176"/>
      <c r="D1543" s="177" t="s">
        <v>165</v>
      </c>
      <c r="E1543" s="178"/>
      <c r="F1543" s="179"/>
      <c r="G1543" s="180">
        <f>SUM(F1537:F1542)</f>
        <v>730202.01</v>
      </c>
      <c r="H1543" s="161"/>
      <c r="K1543" s="153"/>
      <c r="L1543" s="101"/>
    </row>
    <row r="1544" spans="1:12" s="61" customFormat="1" ht="13.8" thickBot="1" x14ac:dyDescent="0.3">
      <c r="A1544" s="61" t="s">
        <v>166</v>
      </c>
      <c r="C1544" s="150"/>
      <c r="D1544" s="151"/>
      <c r="E1544" s="152"/>
      <c r="F1544" s="152"/>
      <c r="G1544" s="178"/>
      <c r="K1544" s="153"/>
      <c r="L1544" s="101"/>
    </row>
    <row r="1545" spans="1:12" s="61" customFormat="1" ht="13.8" thickTop="1" x14ac:dyDescent="0.25">
      <c r="A1545" s="154" t="s">
        <v>3</v>
      </c>
      <c r="B1545" s="155" t="s">
        <v>135</v>
      </c>
      <c r="C1545" s="156" t="s">
        <v>5</v>
      </c>
      <c r="D1545" s="157" t="s">
        <v>6</v>
      </c>
      <c r="E1545" s="158" t="s">
        <v>28</v>
      </c>
      <c r="F1545" s="195" t="s">
        <v>28</v>
      </c>
      <c r="G1545" s="159"/>
      <c r="K1545" s="153"/>
      <c r="L1545" s="101"/>
    </row>
    <row r="1546" spans="1:12" s="61" customFormat="1" ht="13.8" thickBot="1" x14ac:dyDescent="0.3">
      <c r="A1546" s="196"/>
      <c r="B1546" s="197"/>
      <c r="C1546" s="198"/>
      <c r="D1546" s="199"/>
      <c r="E1546" s="200" t="s">
        <v>11</v>
      </c>
      <c r="F1546" s="201" t="s">
        <v>10</v>
      </c>
      <c r="G1546" s="159"/>
      <c r="K1546" s="153"/>
      <c r="L1546" s="101"/>
    </row>
    <row r="1547" spans="1:12" s="61" customFormat="1" ht="13.8" thickTop="1" x14ac:dyDescent="0.25">
      <c r="A1547" s="171"/>
      <c r="B1547" s="171" t="s">
        <v>167</v>
      </c>
      <c r="C1547" s="173" t="s">
        <v>168</v>
      </c>
      <c r="D1547" s="182">
        <v>10</v>
      </c>
      <c r="E1547" s="170">
        <f>$F$22</f>
        <v>1238.96</v>
      </c>
      <c r="F1547" s="170">
        <f>ROUND(D1547*E1547,2)</f>
        <v>12389.6</v>
      </c>
      <c r="G1547" s="170"/>
      <c r="K1547" s="153"/>
      <c r="L1547" s="101"/>
    </row>
    <row r="1548" spans="1:12" s="61" customFormat="1" ht="13.2" x14ac:dyDescent="0.25">
      <c r="A1548" s="171"/>
      <c r="B1548" s="171" t="s">
        <v>221</v>
      </c>
      <c r="C1548" s="173" t="s">
        <v>168</v>
      </c>
      <c r="D1548" s="182">
        <v>20</v>
      </c>
      <c r="E1548" s="170">
        <f>$F$39</f>
        <v>386.38</v>
      </c>
      <c r="F1548" s="170">
        <f>ROUND(D1548*E1548,2)</f>
        <v>7727.6</v>
      </c>
      <c r="G1548" s="170"/>
      <c r="K1548" s="153"/>
      <c r="L1548" s="101"/>
    </row>
    <row r="1549" spans="1:12" s="61" customFormat="1" ht="13.2" x14ac:dyDescent="0.25">
      <c r="A1549" s="175"/>
      <c r="B1549" s="175"/>
      <c r="C1549" s="176"/>
      <c r="D1549" s="177" t="s">
        <v>170</v>
      </c>
      <c r="E1549" s="178"/>
      <c r="F1549" s="179"/>
      <c r="G1549" s="180">
        <f>SUM(F1547:F1548)</f>
        <v>20117.2</v>
      </c>
      <c r="H1549" s="161"/>
      <c r="K1549" s="153"/>
      <c r="L1549" s="101"/>
    </row>
    <row r="1550" spans="1:12" s="61" customFormat="1" ht="13.8" thickBot="1" x14ac:dyDescent="0.3">
      <c r="C1550" s="150"/>
      <c r="D1550" s="151"/>
      <c r="E1550" s="152"/>
      <c r="F1550" s="152"/>
      <c r="G1550" s="178"/>
      <c r="K1550" s="153"/>
      <c r="L1550" s="101"/>
    </row>
    <row r="1551" spans="1:12" s="61" customFormat="1" thickTop="1" thickBot="1" x14ac:dyDescent="0.3">
      <c r="C1551" s="150"/>
      <c r="D1551" s="151" t="s">
        <v>171</v>
      </c>
      <c r="E1551" s="152"/>
      <c r="F1551" s="152"/>
      <c r="G1551" s="183">
        <f>SUM(G1543:G1549)</f>
        <v>750319.21</v>
      </c>
      <c r="H1551" s="184"/>
      <c r="K1551" s="153"/>
      <c r="L1551" s="101"/>
    </row>
    <row r="1552" spans="1:12" ht="15" thickTop="1" x14ac:dyDescent="0.3">
      <c r="C1552" s="185"/>
      <c r="D1552" s="186"/>
      <c r="E1552" s="187"/>
      <c r="F1552" s="187"/>
      <c r="G1552" s="188"/>
    </row>
    <row r="1553" spans="1:12" s="61" customFormat="1" ht="15.6" x14ac:dyDescent="0.3">
      <c r="A1553" s="61" t="s">
        <v>128</v>
      </c>
      <c r="B1553" s="60" t="s">
        <v>293</v>
      </c>
      <c r="C1553" s="150"/>
      <c r="D1553" s="151"/>
      <c r="E1553" s="152"/>
      <c r="F1553" s="152"/>
      <c r="G1553" s="152"/>
      <c r="K1553" s="153"/>
      <c r="L1553" s="101"/>
    </row>
    <row r="1554" spans="1:12" s="61" customFormat="1" ht="15.6" x14ac:dyDescent="0.3">
      <c r="A1554" s="61" t="s">
        <v>130</v>
      </c>
      <c r="B1554" s="60" t="s">
        <v>272</v>
      </c>
      <c r="C1554" s="150"/>
      <c r="D1554" s="151"/>
      <c r="E1554" s="152"/>
      <c r="F1554" s="152"/>
      <c r="G1554" s="152"/>
      <c r="K1554" s="153"/>
      <c r="L1554" s="101"/>
    </row>
    <row r="1555" spans="1:12" s="61" customFormat="1" ht="13.2" x14ac:dyDescent="0.25">
      <c r="C1555" s="150"/>
      <c r="D1555" s="151"/>
      <c r="E1555" s="152"/>
      <c r="F1555" s="152"/>
      <c r="G1555" s="152"/>
      <c r="K1555" s="153"/>
      <c r="L1555" s="101"/>
    </row>
    <row r="1556" spans="1:12" s="61" customFormat="1" ht="13.8" thickBot="1" x14ac:dyDescent="0.3">
      <c r="A1556" s="61" t="s">
        <v>161</v>
      </c>
      <c r="C1556" s="150"/>
      <c r="D1556" s="151"/>
      <c r="E1556" s="152"/>
      <c r="F1556" s="152"/>
      <c r="G1556" s="152"/>
      <c r="K1556" s="153"/>
      <c r="L1556" s="101"/>
    </row>
    <row r="1557" spans="1:12" s="61" customFormat="1" ht="13.8" thickTop="1" x14ac:dyDescent="0.25">
      <c r="A1557" s="154" t="s">
        <v>3</v>
      </c>
      <c r="B1557" s="155" t="s">
        <v>135</v>
      </c>
      <c r="C1557" s="156" t="s">
        <v>5</v>
      </c>
      <c r="D1557" s="157" t="s">
        <v>6</v>
      </c>
      <c r="E1557" s="158" t="s">
        <v>28</v>
      </c>
      <c r="F1557" s="158" t="s">
        <v>28</v>
      </c>
      <c r="G1557" s="159"/>
      <c r="K1557" s="153"/>
      <c r="L1557" s="101"/>
    </row>
    <row r="1558" spans="1:12" s="61" customFormat="1" ht="13.8" thickBot="1" x14ac:dyDescent="0.3">
      <c r="A1558" s="160"/>
      <c r="B1558" s="161"/>
      <c r="C1558" s="162"/>
      <c r="D1558" s="163"/>
      <c r="E1558" s="164" t="s">
        <v>11</v>
      </c>
      <c r="F1558" s="164" t="s">
        <v>10</v>
      </c>
      <c r="G1558" s="159"/>
      <c r="K1558" s="153"/>
      <c r="L1558" s="101"/>
    </row>
    <row r="1559" spans="1:12" s="61" customFormat="1" ht="13.8" thickTop="1" x14ac:dyDescent="0.25">
      <c r="A1559" s="165"/>
      <c r="B1559" s="166" t="s">
        <v>294</v>
      </c>
      <c r="C1559" s="167" t="s">
        <v>61</v>
      </c>
      <c r="D1559" s="168">
        <v>1</v>
      </c>
      <c r="E1559" s="169">
        <f>2*E1548</f>
        <v>772.76</v>
      </c>
      <c r="F1559" s="169">
        <f>ROUND(D1559*E1559,2)</f>
        <v>772.76</v>
      </c>
      <c r="G1559" s="170"/>
      <c r="I1559" s="61">
        <f>3.15*2.3*2.3/4</f>
        <v>4.1658749999999989</v>
      </c>
      <c r="K1559" s="153"/>
      <c r="L1559" s="101"/>
    </row>
    <row r="1560" spans="1:12" s="61" customFormat="1" ht="13.2" x14ac:dyDescent="0.25">
      <c r="A1560" s="171"/>
      <c r="B1560" s="172" t="s">
        <v>295</v>
      </c>
      <c r="C1560" s="173" t="s">
        <v>35</v>
      </c>
      <c r="D1560" s="174">
        <v>0.1</v>
      </c>
      <c r="E1560" s="170">
        <f>+E759</f>
        <v>4500</v>
      </c>
      <c r="F1560" s="170">
        <f>ROUND(D1560*E1560,2)</f>
        <v>450</v>
      </c>
      <c r="G1560" s="171"/>
      <c r="K1560" s="153"/>
      <c r="L1560" s="101"/>
    </row>
    <row r="1561" spans="1:12" s="61" customFormat="1" ht="13.2" x14ac:dyDescent="0.25">
      <c r="A1561" s="171"/>
      <c r="B1561" s="194"/>
      <c r="C1561" s="173"/>
      <c r="D1561" s="174"/>
      <c r="E1561" s="170"/>
      <c r="F1561" s="170"/>
      <c r="G1561" s="171"/>
      <c r="K1561" s="153"/>
      <c r="L1561" s="101"/>
    </row>
    <row r="1562" spans="1:12" s="61" customFormat="1" ht="13.2" x14ac:dyDescent="0.25">
      <c r="A1562" s="175"/>
      <c r="B1562" s="175"/>
      <c r="C1562" s="176"/>
      <c r="D1562" s="177" t="s">
        <v>165</v>
      </c>
      <c r="E1562" s="178"/>
      <c r="F1562" s="179"/>
      <c r="G1562" s="180">
        <f>SUM(F1559:F1561)</f>
        <v>1222.76</v>
      </c>
      <c r="H1562" s="161"/>
      <c r="K1562" s="153"/>
      <c r="L1562" s="101"/>
    </row>
    <row r="1563" spans="1:12" s="61" customFormat="1" ht="13.8" thickBot="1" x14ac:dyDescent="0.3">
      <c r="A1563" s="61" t="s">
        <v>166</v>
      </c>
      <c r="C1563" s="150"/>
      <c r="D1563" s="151"/>
      <c r="E1563" s="152"/>
      <c r="F1563" s="152"/>
      <c r="G1563" s="178"/>
      <c r="K1563" s="153"/>
      <c r="L1563" s="101"/>
    </row>
    <row r="1564" spans="1:12" s="61" customFormat="1" ht="13.8" thickTop="1" x14ac:dyDescent="0.25">
      <c r="A1564" s="154" t="s">
        <v>3</v>
      </c>
      <c r="B1564" s="155" t="s">
        <v>135</v>
      </c>
      <c r="C1564" s="156" t="s">
        <v>5</v>
      </c>
      <c r="D1564" s="157" t="s">
        <v>6</v>
      </c>
      <c r="E1564" s="158" t="s">
        <v>28</v>
      </c>
      <c r="F1564" s="195" t="s">
        <v>28</v>
      </c>
      <c r="G1564" s="159"/>
      <c r="K1564" s="153"/>
      <c r="L1564" s="101"/>
    </row>
    <row r="1565" spans="1:12" s="61" customFormat="1" ht="13.8" thickBot="1" x14ac:dyDescent="0.3">
      <c r="A1565" s="196"/>
      <c r="B1565" s="197"/>
      <c r="C1565" s="198"/>
      <c r="D1565" s="199"/>
      <c r="E1565" s="200" t="s">
        <v>11</v>
      </c>
      <c r="F1565" s="201" t="s">
        <v>10</v>
      </c>
      <c r="G1565" s="159"/>
      <c r="K1565" s="153"/>
      <c r="L1565" s="101"/>
    </row>
    <row r="1566" spans="1:12" s="61" customFormat="1" ht="13.8" thickTop="1" x14ac:dyDescent="0.25">
      <c r="A1566" s="171"/>
      <c r="B1566" s="171" t="s">
        <v>167</v>
      </c>
      <c r="C1566" s="173" t="s">
        <v>168</v>
      </c>
      <c r="D1566" s="182">
        <v>0.3</v>
      </c>
      <c r="E1566" s="170">
        <f>$F$22</f>
        <v>1238.96</v>
      </c>
      <c r="F1566" s="170">
        <f>ROUND(D1566*E1566,2)</f>
        <v>371.69</v>
      </c>
      <c r="G1566" s="170"/>
      <c r="K1566" s="153"/>
      <c r="L1566" s="101"/>
    </row>
    <row r="1567" spans="1:12" s="61" customFormat="1" ht="13.2" x14ac:dyDescent="0.25">
      <c r="A1567" s="171"/>
      <c r="B1567" s="171" t="s">
        <v>221</v>
      </c>
      <c r="C1567" s="173" t="s">
        <v>168</v>
      </c>
      <c r="D1567" s="182">
        <v>1</v>
      </c>
      <c r="E1567" s="170">
        <f>$F$39</f>
        <v>386.38</v>
      </c>
      <c r="F1567" s="170">
        <f>ROUND(D1567*E1567,2)</f>
        <v>386.38</v>
      </c>
      <c r="G1567" s="170"/>
      <c r="K1567" s="153"/>
      <c r="L1567" s="101"/>
    </row>
    <row r="1568" spans="1:12" s="61" customFormat="1" ht="13.2" x14ac:dyDescent="0.25">
      <c r="A1568" s="175"/>
      <c r="B1568" s="175"/>
      <c r="C1568" s="176"/>
      <c r="D1568" s="177" t="s">
        <v>170</v>
      </c>
      <c r="E1568" s="178"/>
      <c r="F1568" s="179"/>
      <c r="G1568" s="180">
        <f>SUM(F1566:F1567)</f>
        <v>758.06999999999994</v>
      </c>
      <c r="H1568" s="161"/>
      <c r="K1568" s="153"/>
      <c r="L1568" s="101"/>
    </row>
    <row r="1569" spans="1:18" s="61" customFormat="1" ht="13.8" thickBot="1" x14ac:dyDescent="0.3">
      <c r="C1569" s="150"/>
      <c r="D1569" s="151"/>
      <c r="E1569" s="152"/>
      <c r="F1569" s="152"/>
      <c r="G1569" s="178"/>
      <c r="K1569" s="153"/>
      <c r="L1569" s="101"/>
    </row>
    <row r="1570" spans="1:18" s="61" customFormat="1" thickTop="1" thickBot="1" x14ac:dyDescent="0.3">
      <c r="C1570" s="150"/>
      <c r="D1570" s="151" t="s">
        <v>171</v>
      </c>
      <c r="E1570" s="152"/>
      <c r="F1570" s="152"/>
      <c r="G1570" s="183">
        <f>SUM(G1562:G1568)</f>
        <v>1980.83</v>
      </c>
      <c r="H1570" s="184"/>
      <c r="K1570" s="153"/>
      <c r="L1570" s="101"/>
    </row>
    <row r="1571" spans="1:18" ht="15" thickTop="1" x14ac:dyDescent="0.3">
      <c r="C1571" s="185"/>
      <c r="D1571" s="186"/>
      <c r="E1571" s="187"/>
      <c r="F1571" s="187"/>
      <c r="G1571" s="188"/>
    </row>
    <row r="1572" spans="1:18" ht="15.6" x14ac:dyDescent="0.3">
      <c r="A1572" s="56" t="s">
        <v>128</v>
      </c>
      <c r="B1572" s="81" t="s">
        <v>296</v>
      </c>
      <c r="C1572" s="58"/>
      <c r="E1572" s="148"/>
      <c r="F1572" s="202"/>
      <c r="G1572" s="148"/>
      <c r="H1572" s="203"/>
      <c r="I1572" s="202"/>
      <c r="J1572" s="148"/>
      <c r="K1572" s="203"/>
      <c r="L1572" s="202"/>
      <c r="M1572" s="148"/>
      <c r="N1572" s="204"/>
      <c r="O1572" s="205"/>
      <c r="P1572" s="206"/>
      <c r="Q1572" s="206"/>
      <c r="R1572" s="206"/>
    </row>
    <row r="1573" spans="1:18" ht="15.6" x14ac:dyDescent="0.3">
      <c r="A1573" s="56" t="s">
        <v>130</v>
      </c>
      <c r="B1573" s="81" t="s">
        <v>297</v>
      </c>
      <c r="C1573" s="58"/>
      <c r="E1573" s="148"/>
      <c r="F1573" s="202"/>
      <c r="G1573" s="148"/>
      <c r="H1573" s="203"/>
      <c r="I1573" s="202"/>
      <c r="J1573" s="148"/>
      <c r="K1573" s="203"/>
      <c r="L1573" s="202"/>
      <c r="M1573" s="148"/>
      <c r="N1573" s="204"/>
      <c r="O1573" s="205"/>
      <c r="P1573" s="206"/>
      <c r="Q1573" s="206"/>
      <c r="R1573" s="206"/>
    </row>
    <row r="1574" spans="1:18" x14ac:dyDescent="0.3">
      <c r="C1574" s="58"/>
      <c r="E1574" s="148"/>
      <c r="F1574" s="202"/>
      <c r="G1574" s="148"/>
      <c r="H1574" s="203"/>
      <c r="I1574" s="202"/>
      <c r="J1574" s="148"/>
      <c r="K1574" s="203"/>
      <c r="L1574" s="202"/>
      <c r="M1574" s="148"/>
      <c r="N1574" s="204"/>
      <c r="O1574" s="205"/>
      <c r="P1574" s="206"/>
      <c r="Q1574" s="206"/>
      <c r="R1574" s="206"/>
    </row>
    <row r="1575" spans="1:18" ht="15" thickBot="1" x14ac:dyDescent="0.35">
      <c r="A1575" s="56" t="s">
        <v>298</v>
      </c>
      <c r="C1575" s="58"/>
      <c r="E1575" s="148"/>
      <c r="F1575" s="202"/>
      <c r="G1575" s="148"/>
      <c r="H1575" s="203"/>
      <c r="I1575" s="202"/>
      <c r="J1575" s="148"/>
      <c r="K1575" s="203"/>
      <c r="L1575" s="202"/>
      <c r="M1575" s="148"/>
      <c r="N1575" s="204"/>
      <c r="O1575" s="205"/>
      <c r="P1575" s="206"/>
      <c r="Q1575" s="206"/>
      <c r="R1575" s="206"/>
    </row>
    <row r="1576" spans="1:18" ht="15" thickTop="1" x14ac:dyDescent="0.3">
      <c r="A1576" s="84" t="s">
        <v>3</v>
      </c>
      <c r="B1576" s="85" t="s">
        <v>135</v>
      </c>
      <c r="C1576" s="86" t="s">
        <v>5</v>
      </c>
      <c r="D1576" s="87" t="s">
        <v>6</v>
      </c>
      <c r="E1576" s="207" t="s">
        <v>299</v>
      </c>
      <c r="F1576" s="207" t="s">
        <v>28</v>
      </c>
      <c r="G1576" s="208"/>
      <c r="H1576" s="203"/>
      <c r="I1576" s="202"/>
      <c r="J1576" s="148"/>
      <c r="K1576" s="203"/>
      <c r="L1576" s="202"/>
      <c r="M1576" s="148"/>
      <c r="N1576" s="204"/>
      <c r="O1576" s="205"/>
      <c r="P1576" s="206"/>
      <c r="Q1576" s="206"/>
      <c r="R1576" s="206"/>
    </row>
    <row r="1577" spans="1:18" ht="15" thickBot="1" x14ac:dyDescent="0.35">
      <c r="A1577" s="90"/>
      <c r="B1577" s="91"/>
      <c r="C1577" s="92"/>
      <c r="D1577" s="93"/>
      <c r="E1577" s="209"/>
      <c r="F1577" s="210" t="s">
        <v>300</v>
      </c>
      <c r="G1577" s="208"/>
      <c r="H1577" s="203"/>
      <c r="I1577" s="202"/>
      <c r="J1577" s="148"/>
      <c r="K1577" s="203"/>
      <c r="L1577" s="202"/>
      <c r="M1577" s="148"/>
      <c r="N1577" s="204"/>
      <c r="O1577" s="205"/>
      <c r="P1577" s="206"/>
      <c r="Q1577" s="206"/>
      <c r="R1577" s="206"/>
    </row>
    <row r="1578" spans="1:18" ht="15" thickTop="1" x14ac:dyDescent="0.3">
      <c r="A1578" s="211"/>
      <c r="B1578" s="211" t="s">
        <v>301</v>
      </c>
      <c r="C1578" s="212" t="s">
        <v>5</v>
      </c>
      <c r="D1578" s="213">
        <v>1</v>
      </c>
      <c r="E1578" s="214" t="s">
        <v>21</v>
      </c>
      <c r="F1578" s="215">
        <f>45000*3</f>
        <v>135000</v>
      </c>
      <c r="G1578" s="216"/>
      <c r="H1578" s="203"/>
      <c r="I1578" s="202"/>
      <c r="J1578" s="148"/>
      <c r="K1578" s="203"/>
      <c r="L1578" s="202"/>
      <c r="M1578" s="148"/>
      <c r="N1578" s="204"/>
      <c r="O1578" s="205"/>
      <c r="P1578" s="206"/>
      <c r="Q1578" s="206"/>
      <c r="R1578" s="206"/>
    </row>
    <row r="1579" spans="1:18" x14ac:dyDescent="0.3">
      <c r="A1579" s="217"/>
      <c r="B1579" s="217" t="s">
        <v>302</v>
      </c>
      <c r="C1579" s="218" t="s">
        <v>299</v>
      </c>
      <c r="D1579" s="219"/>
      <c r="E1579" s="220">
        <v>60</v>
      </c>
      <c r="F1579" s="221"/>
      <c r="G1579" s="216"/>
      <c r="H1579" s="203"/>
      <c r="I1579" s="202"/>
      <c r="J1579" s="148"/>
      <c r="K1579" s="203"/>
      <c r="L1579" s="202"/>
      <c r="M1579" s="148"/>
      <c r="N1579" s="204"/>
      <c r="O1579" s="205"/>
      <c r="P1579" s="206"/>
      <c r="Q1579" s="206"/>
      <c r="R1579" s="206"/>
    </row>
    <row r="1580" spans="1:18" x14ac:dyDescent="0.3">
      <c r="A1580" s="217"/>
      <c r="B1580" s="161" t="s">
        <v>303</v>
      </c>
      <c r="C1580" s="218"/>
      <c r="D1580" s="219"/>
      <c r="E1580" s="216" t="s">
        <v>21</v>
      </c>
      <c r="F1580" s="221">
        <f>SUM(F1578:F1579)</f>
        <v>135000</v>
      </c>
      <c r="G1580" s="216"/>
      <c r="H1580" s="203"/>
      <c r="I1580" s="202"/>
      <c r="J1580" s="148"/>
      <c r="K1580" s="203"/>
      <c r="L1580" s="202"/>
      <c r="M1580" s="148"/>
      <c r="N1580" s="204"/>
      <c r="O1580" s="205"/>
      <c r="P1580" s="206"/>
      <c r="Q1580" s="206"/>
      <c r="R1580" s="206"/>
    </row>
    <row r="1581" spans="1:18" x14ac:dyDescent="0.3">
      <c r="A1581" s="217"/>
      <c r="B1581" s="217"/>
      <c r="C1581" s="218"/>
      <c r="D1581" s="219"/>
      <c r="E1581" s="216"/>
      <c r="F1581" s="221"/>
      <c r="G1581" s="216"/>
      <c r="H1581" s="203"/>
      <c r="I1581" s="202"/>
      <c r="J1581" s="148"/>
      <c r="K1581" s="203"/>
      <c r="L1581" s="202"/>
      <c r="M1581" s="148"/>
      <c r="N1581" s="204"/>
      <c r="O1581" s="205"/>
      <c r="P1581" s="206"/>
      <c r="Q1581" s="206"/>
      <c r="R1581" s="206"/>
    </row>
    <row r="1582" spans="1:18" x14ac:dyDescent="0.3">
      <c r="A1582" s="217"/>
      <c r="B1582" s="222" t="s">
        <v>304</v>
      </c>
      <c r="C1582" s="218"/>
      <c r="D1582" s="219"/>
      <c r="E1582" s="216"/>
      <c r="F1582" s="221"/>
      <c r="G1582" s="216"/>
      <c r="H1582" s="203"/>
      <c r="I1582" s="202"/>
      <c r="J1582" s="148"/>
      <c r="K1582" s="203"/>
      <c r="L1582" s="202"/>
      <c r="M1582" s="148"/>
      <c r="N1582" s="204"/>
      <c r="O1582" s="205"/>
      <c r="P1582" s="206"/>
      <c r="Q1582" s="206"/>
      <c r="R1582" s="206"/>
    </row>
    <row r="1583" spans="1:18" x14ac:dyDescent="0.3">
      <c r="A1583" s="217"/>
      <c r="B1583" s="217" t="s">
        <v>305</v>
      </c>
      <c r="C1583" s="218"/>
      <c r="D1583" s="219"/>
      <c r="E1583" s="216"/>
      <c r="F1583" s="221">
        <f>+F1580*0.0001</f>
        <v>13.5</v>
      </c>
      <c r="G1583" s="216"/>
      <c r="H1583" s="203"/>
      <c r="I1583" s="202"/>
      <c r="J1583" s="148"/>
      <c r="K1583" s="203"/>
      <c r="L1583" s="202"/>
      <c r="M1583" s="148"/>
      <c r="N1583" s="204"/>
      <c r="O1583" s="205"/>
      <c r="P1583" s="206"/>
      <c r="Q1583" s="206"/>
      <c r="R1583" s="206"/>
    </row>
    <row r="1584" spans="1:18" x14ac:dyDescent="0.3">
      <c r="A1584" s="217"/>
      <c r="B1584" s="217" t="s">
        <v>306</v>
      </c>
      <c r="C1584" s="218"/>
      <c r="D1584" s="219"/>
      <c r="E1584" s="216"/>
      <c r="F1584" s="221">
        <f>+F1583*0.24</f>
        <v>3.2399999999999998</v>
      </c>
      <c r="G1584" s="216"/>
      <c r="H1584" s="203"/>
      <c r="I1584" s="202"/>
      <c r="J1584" s="148"/>
      <c r="K1584" s="203"/>
      <c r="L1584" s="202"/>
      <c r="M1584" s="148"/>
      <c r="N1584" s="204"/>
      <c r="O1584" s="205"/>
      <c r="P1584" s="206"/>
      <c r="Q1584" s="206"/>
      <c r="R1584" s="206"/>
    </row>
    <row r="1585" spans="1:19" x14ac:dyDescent="0.3">
      <c r="A1585" s="217"/>
      <c r="B1585" s="217" t="s">
        <v>307</v>
      </c>
      <c r="C1585" s="218"/>
      <c r="D1585" s="219"/>
      <c r="E1585" s="216"/>
      <c r="F1585" s="223">
        <f>+F1583</f>
        <v>13.5</v>
      </c>
      <c r="G1585" s="224"/>
      <c r="H1585" s="203"/>
      <c r="I1585" s="202"/>
      <c r="J1585" s="148"/>
      <c r="K1585" s="203"/>
      <c r="L1585" s="202"/>
      <c r="M1585" s="148"/>
      <c r="N1585" s="204"/>
      <c r="O1585" s="205"/>
      <c r="P1585" s="206"/>
      <c r="Q1585" s="206"/>
      <c r="R1585" s="206"/>
    </row>
    <row r="1586" spans="1:19" x14ac:dyDescent="0.3">
      <c r="A1586" s="217"/>
      <c r="B1586" s="217" t="s">
        <v>308</v>
      </c>
      <c r="C1586" s="218"/>
      <c r="D1586" s="219"/>
      <c r="E1586" s="216"/>
      <c r="F1586" s="223">
        <f>+E1579*0.066</f>
        <v>3.96</v>
      </c>
      <c r="G1586" s="224"/>
      <c r="H1586" s="203"/>
      <c r="I1586" s="202"/>
      <c r="J1586" s="148"/>
      <c r="K1586" s="203"/>
      <c r="L1586" s="202"/>
      <c r="M1586" s="148"/>
      <c r="N1586" s="204"/>
      <c r="O1586" s="205"/>
      <c r="P1586" s="206"/>
      <c r="Q1586" s="206"/>
      <c r="R1586" s="206"/>
    </row>
    <row r="1587" spans="1:19" x14ac:dyDescent="0.3">
      <c r="A1587" s="217"/>
      <c r="B1587" s="217"/>
      <c r="C1587" s="218"/>
      <c r="D1587" s="219"/>
      <c r="E1587" s="216"/>
      <c r="F1587" s="225">
        <f>SUM(F1582:F1586)</f>
        <v>34.199999999999996</v>
      </c>
      <c r="G1587" s="148"/>
      <c r="H1587" s="203"/>
      <c r="I1587" s="202"/>
      <c r="J1587" s="148"/>
      <c r="K1587" s="203"/>
      <c r="L1587" s="202"/>
      <c r="M1587" s="148"/>
      <c r="N1587" s="204"/>
      <c r="O1587" s="205"/>
      <c r="P1587" s="206"/>
      <c r="Q1587" s="206"/>
      <c r="R1587" s="206"/>
    </row>
    <row r="1588" spans="1:19" x14ac:dyDescent="0.3">
      <c r="A1588" s="217"/>
      <c r="B1588" s="222" t="s">
        <v>309</v>
      </c>
      <c r="C1588" s="218"/>
      <c r="D1588" s="219"/>
      <c r="E1588" s="216"/>
      <c r="F1588" s="223"/>
      <c r="G1588" s="224"/>
      <c r="H1588" s="203"/>
      <c r="I1588" s="202"/>
      <c r="J1588" s="148"/>
      <c r="K1588" s="203"/>
      <c r="L1588" s="202"/>
      <c r="M1588" s="148"/>
      <c r="N1588" s="204"/>
      <c r="O1588" s="205"/>
      <c r="P1588" s="206"/>
      <c r="Q1588" s="206"/>
      <c r="R1588" s="206"/>
    </row>
    <row r="1589" spans="1:19" x14ac:dyDescent="0.3">
      <c r="A1589" s="217"/>
      <c r="B1589" s="217" t="s">
        <v>310</v>
      </c>
      <c r="C1589" s="218" t="s">
        <v>30</v>
      </c>
      <c r="D1589" s="219">
        <v>1</v>
      </c>
      <c r="E1589" s="226">
        <f>$F$22*1.2</f>
        <v>1486.752</v>
      </c>
      <c r="F1589" s="223">
        <f>+D1589*E1589</f>
        <v>1486.752</v>
      </c>
      <c r="G1589" s="224"/>
      <c r="H1589" s="203"/>
      <c r="I1589" s="202"/>
      <c r="J1589" s="148"/>
      <c r="K1589" s="203"/>
      <c r="L1589" s="202"/>
      <c r="M1589" s="148"/>
      <c r="N1589" s="204"/>
      <c r="O1589" s="205"/>
      <c r="P1589" s="206"/>
      <c r="Q1589" s="206"/>
      <c r="R1589" s="206"/>
    </row>
    <row r="1590" spans="1:19" x14ac:dyDescent="0.3">
      <c r="A1590" s="217"/>
      <c r="B1590" s="217" t="s">
        <v>169</v>
      </c>
      <c r="C1590" s="218" t="s">
        <v>30</v>
      </c>
      <c r="D1590" s="219">
        <v>3</v>
      </c>
      <c r="E1590" s="226">
        <f>$F$39</f>
        <v>386.38</v>
      </c>
      <c r="F1590" s="223">
        <f>+D1590*E1590</f>
        <v>1159.1399999999999</v>
      </c>
      <c r="G1590" s="224"/>
      <c r="H1590" s="203"/>
      <c r="I1590" s="202"/>
      <c r="J1590" s="148"/>
      <c r="K1590" s="203"/>
      <c r="L1590" s="202"/>
      <c r="M1590" s="148"/>
      <c r="N1590" s="204"/>
      <c r="O1590" s="205"/>
      <c r="P1590" s="206"/>
      <c r="Q1590" s="206"/>
      <c r="R1590" s="206"/>
    </row>
    <row r="1591" spans="1:19" x14ac:dyDescent="0.3">
      <c r="A1591" s="217"/>
      <c r="B1591" s="217"/>
      <c r="C1591" s="218"/>
      <c r="D1591" s="219"/>
      <c r="E1591" s="216"/>
      <c r="F1591" s="225">
        <f>SUM(F1589:F1590)</f>
        <v>2645.8919999999998</v>
      </c>
      <c r="G1591" s="148"/>
      <c r="H1591" s="203"/>
      <c r="I1591" s="202"/>
      <c r="J1591" s="148"/>
      <c r="K1591" s="203"/>
      <c r="L1591" s="202"/>
      <c r="M1591" s="148"/>
      <c r="N1591" s="204"/>
      <c r="O1591" s="205"/>
      <c r="P1591" s="206"/>
      <c r="Q1591" s="206"/>
      <c r="R1591" s="206"/>
    </row>
    <row r="1592" spans="1:19" x14ac:dyDescent="0.3">
      <c r="A1592" s="217"/>
      <c r="B1592" s="222" t="s">
        <v>311</v>
      </c>
      <c r="C1592" s="218"/>
      <c r="D1592" s="219"/>
      <c r="E1592" s="216"/>
      <c r="F1592" s="227">
        <f>+F1591+F1587</f>
        <v>2680.0919999999996</v>
      </c>
      <c r="G1592" s="148"/>
      <c r="H1592" s="203"/>
      <c r="I1592" s="202"/>
      <c r="J1592" s="148"/>
      <c r="K1592" s="203"/>
      <c r="L1592" s="202"/>
      <c r="M1592" s="148"/>
      <c r="N1592" s="204"/>
      <c r="O1592" s="205"/>
      <c r="P1592" s="206"/>
      <c r="Q1592" s="206"/>
      <c r="R1592" s="206"/>
    </row>
    <row r="1593" spans="1:19" x14ac:dyDescent="0.3">
      <c r="A1593" s="217"/>
      <c r="B1593" s="217"/>
      <c r="C1593" s="218"/>
      <c r="D1593" s="219"/>
      <c r="E1593" s="216"/>
      <c r="F1593" s="223"/>
      <c r="G1593" s="224"/>
      <c r="H1593" s="203"/>
      <c r="I1593" s="202"/>
      <c r="J1593" s="148"/>
      <c r="K1593" s="203"/>
      <c r="L1593" s="202"/>
      <c r="M1593" s="148"/>
      <c r="N1593" s="204"/>
      <c r="O1593" s="205"/>
      <c r="P1593" s="206"/>
      <c r="Q1593" s="206"/>
      <c r="R1593" s="206"/>
    </row>
    <row r="1594" spans="1:19" x14ac:dyDescent="0.3">
      <c r="A1594" s="217"/>
      <c r="B1594" s="217" t="s">
        <v>312</v>
      </c>
      <c r="C1594" s="218" t="s">
        <v>313</v>
      </c>
      <c r="D1594" s="219">
        <v>3</v>
      </c>
      <c r="E1594" s="216"/>
      <c r="F1594" s="223"/>
      <c r="G1594" s="224"/>
      <c r="H1594" s="203"/>
      <c r="I1594" s="202"/>
      <c r="J1594" s="148"/>
      <c r="K1594" s="203"/>
      <c r="L1594" s="202"/>
      <c r="M1594" s="148"/>
      <c r="N1594" s="204"/>
      <c r="O1594" s="205"/>
      <c r="P1594" s="206"/>
      <c r="Q1594" s="206"/>
      <c r="R1594" s="206"/>
    </row>
    <row r="1595" spans="1:19" x14ac:dyDescent="0.3">
      <c r="A1595" s="217"/>
      <c r="B1595" s="217"/>
      <c r="C1595" s="218"/>
      <c r="D1595" s="219"/>
      <c r="E1595" s="216"/>
      <c r="F1595" s="223"/>
      <c r="G1595" s="224"/>
      <c r="H1595" s="203"/>
      <c r="I1595" s="202"/>
      <c r="J1595" s="148"/>
      <c r="K1595" s="203"/>
      <c r="L1595" s="202"/>
      <c r="M1595" s="148"/>
      <c r="N1595" s="204"/>
      <c r="O1595" s="205"/>
      <c r="P1595" s="206"/>
      <c r="Q1595" s="206"/>
      <c r="R1595" s="206"/>
    </row>
    <row r="1596" spans="1:19" x14ac:dyDescent="0.3">
      <c r="A1596" s="217"/>
      <c r="B1596" s="217" t="s">
        <v>314</v>
      </c>
      <c r="C1596" s="218"/>
      <c r="D1596" s="219"/>
      <c r="E1596" s="216"/>
      <c r="F1596" s="223">
        <f>+F1592/D1594</f>
        <v>893.36399999999992</v>
      </c>
      <c r="G1596" s="148"/>
      <c r="H1596" s="203"/>
      <c r="I1596" s="202"/>
      <c r="J1596" s="148"/>
      <c r="K1596" s="203"/>
      <c r="L1596" s="202"/>
      <c r="M1596" s="148"/>
      <c r="N1596" s="204"/>
      <c r="O1596" s="205"/>
      <c r="P1596" s="206"/>
      <c r="Q1596" s="206"/>
      <c r="R1596" s="206"/>
    </row>
    <row r="1597" spans="1:19" x14ac:dyDescent="0.3">
      <c r="A1597" s="217"/>
      <c r="B1597" s="217"/>
      <c r="C1597" s="218"/>
      <c r="D1597" s="219"/>
      <c r="E1597" s="216"/>
      <c r="F1597" s="223"/>
      <c r="G1597" s="224"/>
      <c r="H1597" s="203"/>
      <c r="I1597" s="202"/>
      <c r="J1597" s="148"/>
      <c r="K1597" s="203"/>
      <c r="L1597" s="202"/>
      <c r="M1597" s="148"/>
      <c r="N1597" s="204"/>
      <c r="O1597" s="205"/>
      <c r="P1597" s="206"/>
      <c r="Q1597" s="206"/>
      <c r="R1597" s="206"/>
    </row>
    <row r="1598" spans="1:19" x14ac:dyDescent="0.3">
      <c r="A1598" s="228"/>
      <c r="B1598" s="228"/>
      <c r="C1598" s="115"/>
      <c r="D1598" s="229" t="s">
        <v>165</v>
      </c>
      <c r="E1598" s="230"/>
      <c r="F1598" s="231">
        <f>+G1598</f>
        <v>893.36399999999992</v>
      </c>
      <c r="G1598" s="232">
        <f>+F1596</f>
        <v>893.36399999999992</v>
      </c>
      <c r="H1598" s="203"/>
      <c r="I1598" s="202"/>
      <c r="J1598" s="148"/>
      <c r="K1598" s="203"/>
      <c r="L1598" s="202"/>
      <c r="M1598" s="148"/>
      <c r="N1598" s="204"/>
      <c r="O1598" s="205"/>
      <c r="P1598" s="206"/>
      <c r="Q1598" s="206"/>
      <c r="R1598" s="206"/>
      <c r="S1598" s="79"/>
    </row>
    <row r="1599" spans="1:19" ht="15" thickBot="1" x14ac:dyDescent="0.35">
      <c r="A1599" s="56" t="s">
        <v>166</v>
      </c>
      <c r="C1599" s="58"/>
      <c r="E1599" s="148"/>
      <c r="F1599" s="202"/>
      <c r="G1599" s="230"/>
      <c r="H1599" s="203"/>
      <c r="I1599" s="202"/>
      <c r="J1599" s="148"/>
      <c r="K1599" s="203"/>
      <c r="L1599" s="202"/>
      <c r="M1599" s="148"/>
      <c r="N1599" s="204"/>
      <c r="O1599" s="205"/>
      <c r="P1599" s="206"/>
      <c r="Q1599" s="206"/>
      <c r="R1599" s="206"/>
    </row>
    <row r="1600" spans="1:19" ht="15" thickTop="1" x14ac:dyDescent="0.3">
      <c r="A1600" s="84" t="s">
        <v>3</v>
      </c>
      <c r="B1600" s="85" t="s">
        <v>135</v>
      </c>
      <c r="C1600" s="86" t="s">
        <v>5</v>
      </c>
      <c r="D1600" s="87" t="s">
        <v>6</v>
      </c>
      <c r="E1600" s="233" t="s">
        <v>28</v>
      </c>
      <c r="F1600" s="207" t="s">
        <v>28</v>
      </c>
      <c r="G1600" s="208"/>
      <c r="H1600" s="203"/>
      <c r="I1600" s="202"/>
      <c r="J1600" s="148"/>
      <c r="K1600" s="203"/>
      <c r="L1600" s="202"/>
      <c r="M1600" s="148"/>
      <c r="N1600" s="204"/>
      <c r="O1600" s="205"/>
      <c r="P1600" s="206"/>
      <c r="Q1600" s="206"/>
      <c r="R1600" s="206"/>
    </row>
    <row r="1601" spans="1:22" ht="15" thickBot="1" x14ac:dyDescent="0.35">
      <c r="A1601" s="90"/>
      <c r="B1601" s="91"/>
      <c r="C1601" s="92"/>
      <c r="D1601" s="93"/>
      <c r="E1601" s="209" t="s">
        <v>11</v>
      </c>
      <c r="F1601" s="210" t="s">
        <v>300</v>
      </c>
      <c r="G1601" s="208"/>
      <c r="H1601" s="203"/>
      <c r="I1601" s="202"/>
      <c r="J1601" s="148"/>
      <c r="K1601" s="203"/>
      <c r="L1601" s="202"/>
      <c r="M1601" s="148"/>
      <c r="N1601" s="204"/>
      <c r="O1601" s="205"/>
      <c r="P1601" s="206"/>
      <c r="Q1601" s="206"/>
      <c r="R1601" s="206"/>
    </row>
    <row r="1602" spans="1:22" ht="15" thickTop="1" x14ac:dyDescent="0.3">
      <c r="A1602" s="211"/>
      <c r="B1602" s="211" t="s">
        <v>167</v>
      </c>
      <c r="C1602" s="212" t="s">
        <v>168</v>
      </c>
      <c r="D1602" s="213">
        <v>0</v>
      </c>
      <c r="E1602" s="234">
        <f>$F$22</f>
        <v>1238.96</v>
      </c>
      <c r="F1602" s="215">
        <f>ROUND(D1602*E1602,2)</f>
        <v>0</v>
      </c>
      <c r="G1602" s="216"/>
      <c r="H1602" s="203"/>
      <c r="I1602" s="202"/>
      <c r="J1602" s="148"/>
      <c r="K1602" s="203"/>
      <c r="L1602" s="202"/>
      <c r="M1602" s="148"/>
      <c r="N1602" s="204"/>
      <c r="O1602" s="205"/>
      <c r="P1602" s="206"/>
      <c r="Q1602" s="206"/>
      <c r="R1602" s="206"/>
    </row>
    <row r="1603" spans="1:22" x14ac:dyDescent="0.3">
      <c r="A1603" s="217"/>
      <c r="B1603" s="217" t="s">
        <v>221</v>
      </c>
      <c r="C1603" s="218" t="s">
        <v>168</v>
      </c>
      <c r="D1603" s="219">
        <v>1.5</v>
      </c>
      <c r="E1603" s="235">
        <f>$F$39</f>
        <v>386.38</v>
      </c>
      <c r="F1603" s="221">
        <f>ROUND(D1603*E1603,2)</f>
        <v>579.57000000000005</v>
      </c>
      <c r="G1603" s="216"/>
      <c r="H1603" s="203"/>
      <c r="I1603" s="202"/>
      <c r="J1603" s="148"/>
      <c r="K1603" s="203"/>
      <c r="L1603" s="202"/>
      <c r="M1603" s="148"/>
      <c r="N1603" s="204"/>
      <c r="O1603" s="205"/>
      <c r="P1603" s="206"/>
      <c r="Q1603" s="206"/>
      <c r="R1603" s="206"/>
    </row>
    <row r="1604" spans="1:22" x14ac:dyDescent="0.3">
      <c r="A1604" s="228"/>
      <c r="B1604" s="228"/>
      <c r="C1604" s="115"/>
      <c r="D1604" s="229" t="s">
        <v>170</v>
      </c>
      <c r="E1604" s="230"/>
      <c r="F1604" s="231">
        <f>+G1604</f>
        <v>579.57000000000005</v>
      </c>
      <c r="G1604" s="232">
        <f>SUM(F1602:F1603)</f>
        <v>579.57000000000005</v>
      </c>
      <c r="H1604" s="203"/>
      <c r="I1604" s="202"/>
      <c r="J1604" s="148"/>
      <c r="K1604" s="203"/>
      <c r="L1604" s="202"/>
      <c r="M1604" s="148"/>
      <c r="N1604" s="204"/>
      <c r="O1604" s="205"/>
      <c r="P1604" s="206"/>
      <c r="Q1604" s="206"/>
      <c r="R1604" s="206"/>
      <c r="S1604" s="79"/>
    </row>
    <row r="1605" spans="1:22" ht="15" thickBot="1" x14ac:dyDescent="0.35">
      <c r="C1605" s="58"/>
      <c r="E1605" s="148"/>
      <c r="F1605" s="236"/>
      <c r="G1605" s="230"/>
      <c r="H1605" s="203"/>
      <c r="I1605" s="202"/>
      <c r="J1605" s="148"/>
      <c r="K1605" s="203"/>
      <c r="L1605" s="202"/>
      <c r="M1605" s="148"/>
      <c r="N1605" s="204"/>
      <c r="O1605" s="205"/>
      <c r="P1605" s="206"/>
      <c r="Q1605" s="206"/>
      <c r="R1605" s="206"/>
    </row>
    <row r="1606" spans="1:22" ht="15.6" thickTop="1" thickBot="1" x14ac:dyDescent="0.35">
      <c r="B1606" s="56" t="str">
        <f>+B1572</f>
        <v>EXCAVACION Y TAPADO DE ZANJAS PARA REDES  DE AGUA - RETROEXCAVADORA</v>
      </c>
      <c r="C1606" s="58" t="str">
        <f>+B1573</f>
        <v>(m3)</v>
      </c>
      <c r="D1606" s="75" t="s">
        <v>171</v>
      </c>
      <c r="E1606" s="148"/>
      <c r="F1606" s="237">
        <f>+G1606</f>
        <v>1472.934</v>
      </c>
      <c r="G1606" s="237">
        <f>+G1604+G1598</f>
        <v>1472.934</v>
      </c>
      <c r="H1606" s="203"/>
      <c r="I1606" s="202"/>
      <c r="J1606" s="148"/>
      <c r="K1606" s="203"/>
      <c r="L1606" s="202"/>
      <c r="M1606" s="148"/>
      <c r="N1606" s="204"/>
      <c r="O1606" s="205"/>
      <c r="P1606" s="206"/>
      <c r="Q1606" s="206"/>
      <c r="R1606" s="238"/>
      <c r="S1606" s="239"/>
      <c r="T1606" s="240">
        <f>+F1606</f>
        <v>1472.934</v>
      </c>
      <c r="U1606" s="240">
        <f>+I1606</f>
        <v>0</v>
      </c>
      <c r="V1606" s="241">
        <f>+U1606/T1606</f>
        <v>0</v>
      </c>
    </row>
    <row r="1607" spans="1:22" ht="15" thickTop="1" x14ac:dyDescent="0.3">
      <c r="C1607" s="58"/>
      <c r="E1607" s="148"/>
      <c r="F1607" s="202"/>
      <c r="G1607" s="242"/>
      <c r="H1607" s="203"/>
      <c r="I1607" s="202"/>
      <c r="J1607" s="148"/>
      <c r="K1607" s="203"/>
      <c r="L1607" s="202"/>
      <c r="M1607" s="148"/>
      <c r="N1607" s="204"/>
      <c r="O1607" s="205"/>
      <c r="P1607" s="206"/>
      <c r="Q1607" s="206"/>
      <c r="R1607" s="206"/>
    </row>
    <row r="1608" spans="1:22" ht="15.6" x14ac:dyDescent="0.3">
      <c r="A1608" s="56" t="s">
        <v>128</v>
      </c>
      <c r="B1608" s="81" t="s">
        <v>315</v>
      </c>
      <c r="C1608" s="58"/>
      <c r="E1608" s="148"/>
      <c r="F1608" s="202"/>
      <c r="G1608" s="148"/>
      <c r="H1608" s="203"/>
      <c r="I1608" s="202"/>
      <c r="J1608" s="148"/>
      <c r="K1608" s="203"/>
      <c r="L1608" s="202"/>
      <c r="M1608" s="148"/>
      <c r="N1608" s="204"/>
      <c r="O1608" s="205"/>
      <c r="P1608" s="206"/>
      <c r="Q1608" s="206"/>
      <c r="R1608" s="206"/>
    </row>
    <row r="1609" spans="1:22" ht="15.6" x14ac:dyDescent="0.3">
      <c r="A1609" s="56" t="s">
        <v>130</v>
      </c>
      <c r="B1609" s="81" t="s">
        <v>316</v>
      </c>
      <c r="C1609" s="58"/>
      <c r="E1609" s="148"/>
      <c r="F1609" s="202"/>
      <c r="G1609" s="148"/>
      <c r="H1609" s="203"/>
      <c r="I1609" s="202"/>
      <c r="J1609" s="148"/>
      <c r="K1609" s="203"/>
      <c r="L1609" s="202"/>
      <c r="M1609" s="148"/>
      <c r="N1609" s="204"/>
      <c r="O1609" s="205"/>
      <c r="P1609" s="206"/>
      <c r="Q1609" s="206"/>
      <c r="R1609" s="206"/>
    </row>
    <row r="1610" spans="1:22" x14ac:dyDescent="0.3">
      <c r="C1610" s="58"/>
      <c r="E1610" s="148"/>
      <c r="F1610" s="202"/>
      <c r="G1610" s="148"/>
      <c r="H1610" s="203"/>
      <c r="I1610" s="202"/>
      <c r="J1610" s="148"/>
      <c r="K1610" s="203"/>
      <c r="L1610" s="202"/>
      <c r="M1610" s="148"/>
      <c r="N1610" s="204"/>
      <c r="O1610" s="205"/>
      <c r="P1610" s="206"/>
      <c r="Q1610" s="206"/>
      <c r="R1610" s="206"/>
    </row>
    <row r="1611" spans="1:22" ht="15" thickBot="1" x14ac:dyDescent="0.35">
      <c r="A1611" s="56" t="s">
        <v>317</v>
      </c>
      <c r="C1611" s="58"/>
      <c r="E1611" s="148"/>
      <c r="F1611" s="202"/>
      <c r="G1611" s="148"/>
      <c r="H1611" s="203"/>
      <c r="I1611" s="202"/>
      <c r="J1611" s="148"/>
      <c r="K1611" s="203"/>
      <c r="L1611" s="202"/>
      <c r="M1611" s="148"/>
      <c r="N1611" s="204"/>
      <c r="O1611" s="205"/>
      <c r="P1611" s="206"/>
      <c r="Q1611" s="206"/>
      <c r="R1611" s="206"/>
    </row>
    <row r="1612" spans="1:22" ht="15" thickTop="1" x14ac:dyDescent="0.3">
      <c r="A1612" s="84" t="s">
        <v>3</v>
      </c>
      <c r="B1612" s="85" t="s">
        <v>135</v>
      </c>
      <c r="C1612" s="86" t="s">
        <v>5</v>
      </c>
      <c r="D1612" s="87" t="s">
        <v>6</v>
      </c>
      <c r="E1612" s="233" t="s">
        <v>28</v>
      </c>
      <c r="F1612" s="207" t="s">
        <v>28</v>
      </c>
      <c r="G1612" s="208"/>
      <c r="H1612" s="203"/>
      <c r="I1612" s="202"/>
      <c r="J1612" s="148"/>
      <c r="K1612" s="203"/>
      <c r="L1612" s="202"/>
      <c r="M1612" s="148"/>
      <c r="N1612" s="204"/>
      <c r="O1612" s="205"/>
      <c r="P1612" s="206"/>
      <c r="Q1612" s="206"/>
      <c r="R1612" s="206"/>
    </row>
    <row r="1613" spans="1:22" ht="15" thickBot="1" x14ac:dyDescent="0.35">
      <c r="A1613" s="90"/>
      <c r="B1613" s="91"/>
      <c r="C1613" s="92"/>
      <c r="D1613" s="93"/>
      <c r="E1613" s="209" t="s">
        <v>11</v>
      </c>
      <c r="F1613" s="210" t="s">
        <v>300</v>
      </c>
      <c r="G1613" s="208"/>
      <c r="H1613" s="203"/>
      <c r="I1613" s="202"/>
      <c r="J1613" s="148"/>
      <c r="K1613" s="203"/>
      <c r="L1613" s="202"/>
      <c r="M1613" s="148"/>
      <c r="N1613" s="204"/>
      <c r="O1613" s="205"/>
      <c r="P1613" s="206"/>
      <c r="Q1613" s="206"/>
      <c r="R1613" s="206"/>
    </row>
    <row r="1614" spans="1:22" ht="15" thickTop="1" x14ac:dyDescent="0.3">
      <c r="A1614" s="211"/>
      <c r="B1614" s="211" t="s">
        <v>318</v>
      </c>
      <c r="C1614" s="212" t="s">
        <v>69</v>
      </c>
      <c r="D1614" s="213">
        <v>1.1000000000000001</v>
      </c>
      <c r="E1614" s="243">
        <f>43.7/6</f>
        <v>7.2833333333333341</v>
      </c>
      <c r="F1614" s="215">
        <f>+D1614*E1614</f>
        <v>8.0116666666666685</v>
      </c>
      <c r="G1614" s="216"/>
      <c r="H1614" s="203"/>
      <c r="I1614" s="202"/>
      <c r="J1614" s="148"/>
      <c r="K1614" s="203"/>
      <c r="L1614" s="202"/>
      <c r="M1614" s="148"/>
      <c r="N1614" s="204"/>
      <c r="O1614" s="205"/>
      <c r="P1614" s="206"/>
      <c r="Q1614" s="206"/>
      <c r="R1614" s="206"/>
    </row>
    <row r="1615" spans="1:22" x14ac:dyDescent="0.3">
      <c r="A1615" s="217"/>
      <c r="B1615" s="217" t="str">
        <f>[1]LISTAS!$C$13</f>
        <v>Seguro Obrero</v>
      </c>
      <c r="C1615" s="218" t="str">
        <f>[1]LISTAS!$D$13</f>
        <v>hs</v>
      </c>
      <c r="D1615" s="219">
        <v>0.04</v>
      </c>
      <c r="E1615" s="244">
        <v>12.4</v>
      </c>
      <c r="F1615" s="244">
        <f>ROUND(D1615*E1615,2)+0.02</f>
        <v>0.52</v>
      </c>
      <c r="G1615" s="244"/>
      <c r="H1615" s="203"/>
      <c r="I1615" s="202"/>
      <c r="J1615" s="148"/>
      <c r="K1615" s="203"/>
      <c r="L1615" s="202"/>
      <c r="M1615" s="148"/>
      <c r="N1615" s="204"/>
      <c r="O1615" s="205"/>
      <c r="P1615" s="206"/>
      <c r="Q1615" s="206"/>
      <c r="R1615" s="206"/>
    </row>
    <row r="1616" spans="1:22" x14ac:dyDescent="0.3">
      <c r="A1616" s="217"/>
      <c r="B1616" s="217"/>
      <c r="C1616" s="218"/>
      <c r="D1616" s="219"/>
      <c r="E1616" s="216"/>
      <c r="F1616" s="223"/>
      <c r="G1616" s="224"/>
      <c r="H1616" s="203"/>
      <c r="I1616" s="202"/>
      <c r="J1616" s="148"/>
      <c r="K1616" s="203"/>
      <c r="L1616" s="202"/>
      <c r="M1616" s="148"/>
      <c r="N1616" s="204"/>
      <c r="O1616" s="205"/>
      <c r="P1616" s="206"/>
      <c r="Q1616" s="206"/>
      <c r="R1616" s="206"/>
    </row>
    <row r="1617" spans="1:22" x14ac:dyDescent="0.3">
      <c r="A1617" s="228"/>
      <c r="B1617" s="228"/>
      <c r="C1617" s="115"/>
      <c r="D1617" s="229" t="s">
        <v>165</v>
      </c>
      <c r="E1617" s="230"/>
      <c r="F1617" s="231">
        <f>+G1617</f>
        <v>8.5316666666666681</v>
      </c>
      <c r="G1617" s="232">
        <f>SUM(F1614:F1615)</f>
        <v>8.5316666666666681</v>
      </c>
      <c r="H1617" s="203"/>
      <c r="I1617" s="202"/>
      <c r="J1617" s="148"/>
      <c r="K1617" s="203"/>
      <c r="L1617" s="202"/>
      <c r="M1617" s="148"/>
      <c r="N1617" s="204"/>
      <c r="O1617" s="205"/>
      <c r="P1617" s="206"/>
      <c r="Q1617" s="206"/>
      <c r="R1617" s="206"/>
      <c r="S1617" s="79"/>
    </row>
    <row r="1618" spans="1:22" ht="15" thickBot="1" x14ac:dyDescent="0.35">
      <c r="A1618" s="56" t="s">
        <v>166</v>
      </c>
      <c r="C1618" s="58"/>
      <c r="E1618" s="148"/>
      <c r="F1618" s="202"/>
      <c r="G1618" s="230"/>
      <c r="H1618" s="203"/>
      <c r="I1618" s="202"/>
      <c r="J1618" s="148"/>
      <c r="K1618" s="203"/>
      <c r="L1618" s="202"/>
      <c r="M1618" s="148"/>
      <c r="N1618" s="204"/>
      <c r="O1618" s="205"/>
      <c r="P1618" s="206"/>
      <c r="Q1618" s="206"/>
      <c r="R1618" s="206"/>
    </row>
    <row r="1619" spans="1:22" ht="15" thickTop="1" x14ac:dyDescent="0.3">
      <c r="A1619" s="84" t="s">
        <v>3</v>
      </c>
      <c r="B1619" s="85" t="s">
        <v>135</v>
      </c>
      <c r="C1619" s="86" t="s">
        <v>5</v>
      </c>
      <c r="D1619" s="87" t="s">
        <v>6</v>
      </c>
      <c r="E1619" s="233" t="s">
        <v>28</v>
      </c>
      <c r="F1619" s="207" t="s">
        <v>28</v>
      </c>
      <c r="G1619" s="208"/>
      <c r="H1619" s="203"/>
      <c r="I1619" s="202"/>
      <c r="J1619" s="148"/>
      <c r="K1619" s="203"/>
      <c r="L1619" s="202"/>
      <c r="M1619" s="148"/>
      <c r="N1619" s="204"/>
      <c r="O1619" s="205"/>
      <c r="P1619" s="206"/>
      <c r="Q1619" s="206"/>
      <c r="R1619" s="206"/>
    </row>
    <row r="1620" spans="1:22" ht="15" thickBot="1" x14ac:dyDescent="0.35">
      <c r="A1620" s="90"/>
      <c r="B1620" s="91"/>
      <c r="C1620" s="92"/>
      <c r="D1620" s="93"/>
      <c r="E1620" s="209" t="s">
        <v>11</v>
      </c>
      <c r="F1620" s="210" t="s">
        <v>300</v>
      </c>
      <c r="G1620" s="208"/>
      <c r="H1620" s="203"/>
      <c r="I1620" s="202"/>
      <c r="J1620" s="148"/>
      <c r="K1620" s="203"/>
      <c r="L1620" s="202"/>
      <c r="M1620" s="148"/>
      <c r="N1620" s="204"/>
      <c r="O1620" s="205"/>
      <c r="P1620" s="206"/>
      <c r="Q1620" s="206"/>
      <c r="R1620" s="206"/>
    </row>
    <row r="1621" spans="1:22" ht="15" thickTop="1" x14ac:dyDescent="0.3">
      <c r="A1621" s="211"/>
      <c r="B1621" s="211" t="s">
        <v>167</v>
      </c>
      <c r="C1621" s="212" t="s">
        <v>168</v>
      </c>
      <c r="D1621" s="213">
        <v>0.3</v>
      </c>
      <c r="E1621" s="234">
        <f>$F$22</f>
        <v>1238.96</v>
      </c>
      <c r="F1621" s="215">
        <f>ROUND(D1621*E1621,2)</f>
        <v>371.69</v>
      </c>
      <c r="G1621" s="216"/>
      <c r="H1621" s="203"/>
      <c r="I1621" s="202"/>
      <c r="J1621" s="148"/>
      <c r="K1621" s="203"/>
      <c r="L1621" s="202"/>
      <c r="M1621" s="148"/>
      <c r="N1621" s="204"/>
      <c r="O1621" s="205"/>
      <c r="P1621" s="206"/>
      <c r="Q1621" s="206"/>
      <c r="R1621" s="206"/>
    </row>
    <row r="1622" spans="1:22" x14ac:dyDescent="0.3">
      <c r="A1622" s="217"/>
      <c r="B1622" s="217" t="s">
        <v>221</v>
      </c>
      <c r="C1622" s="218" t="s">
        <v>168</v>
      </c>
      <c r="D1622" s="219">
        <v>0.6</v>
      </c>
      <c r="E1622" s="235">
        <f>$F$39</f>
        <v>386.38</v>
      </c>
      <c r="F1622" s="221">
        <f>ROUND(D1622*E1622,2)</f>
        <v>231.83</v>
      </c>
      <c r="G1622" s="216"/>
      <c r="H1622" s="203"/>
      <c r="I1622" s="202"/>
      <c r="J1622" s="148"/>
      <c r="K1622" s="203"/>
      <c r="L1622" s="202"/>
      <c r="M1622" s="148"/>
      <c r="N1622" s="204"/>
      <c r="O1622" s="205"/>
      <c r="P1622" s="206"/>
      <c r="Q1622" s="206"/>
      <c r="R1622" s="206"/>
    </row>
    <row r="1623" spans="1:22" x14ac:dyDescent="0.3">
      <c r="A1623" s="228"/>
      <c r="B1623" s="228"/>
      <c r="C1623" s="115"/>
      <c r="D1623" s="229" t="s">
        <v>170</v>
      </c>
      <c r="E1623" s="230"/>
      <c r="F1623" s="231">
        <f>+G1623</f>
        <v>603.52</v>
      </c>
      <c r="G1623" s="232">
        <f>SUM(F1621:F1622)</f>
        <v>603.52</v>
      </c>
      <c r="H1623" s="203"/>
      <c r="I1623" s="202"/>
      <c r="J1623" s="148"/>
      <c r="K1623" s="203"/>
      <c r="L1623" s="202"/>
      <c r="M1623" s="148"/>
      <c r="N1623" s="204"/>
      <c r="O1623" s="205"/>
      <c r="P1623" s="206"/>
      <c r="Q1623" s="206"/>
      <c r="R1623" s="206"/>
      <c r="S1623" s="79"/>
    </row>
    <row r="1624" spans="1:22" ht="15" thickBot="1" x14ac:dyDescent="0.35">
      <c r="C1624" s="58"/>
      <c r="E1624" s="148"/>
      <c r="F1624" s="236"/>
      <c r="G1624" s="230"/>
      <c r="H1624" s="203"/>
      <c r="I1624" s="202"/>
      <c r="J1624" s="148"/>
      <c r="K1624" s="203"/>
      <c r="L1624" s="202"/>
      <c r="M1624" s="148"/>
      <c r="N1624" s="204"/>
      <c r="O1624" s="205"/>
      <c r="P1624" s="206"/>
      <c r="Q1624" s="206"/>
      <c r="R1624" s="206"/>
    </row>
    <row r="1625" spans="1:22" ht="15.6" thickTop="1" thickBot="1" x14ac:dyDescent="0.35">
      <c r="B1625" s="56" t="str">
        <f>+B1608</f>
        <v>CAÑERIA DE PVC JE F 90 mm</v>
      </c>
      <c r="C1625" s="58" t="str">
        <f>+B1609</f>
        <v>(ml)</v>
      </c>
      <c r="D1625" s="75" t="s">
        <v>171</v>
      </c>
      <c r="E1625" s="148"/>
      <c r="F1625" s="237">
        <f>+G1625</f>
        <v>612.05166666666662</v>
      </c>
      <c r="G1625" s="237">
        <f>+G1623+G1617</f>
        <v>612.05166666666662</v>
      </c>
      <c r="H1625" s="203"/>
      <c r="I1625" s="202"/>
      <c r="J1625" s="148"/>
      <c r="K1625" s="203"/>
      <c r="L1625" s="202"/>
      <c r="M1625" s="148"/>
      <c r="N1625" s="204"/>
      <c r="O1625" s="205"/>
      <c r="P1625" s="206"/>
      <c r="Q1625" s="206"/>
      <c r="R1625" s="238"/>
      <c r="S1625" s="239"/>
      <c r="T1625" s="240">
        <f>+F1625</f>
        <v>612.05166666666662</v>
      </c>
      <c r="U1625" s="240">
        <f>+I1625</f>
        <v>0</v>
      </c>
      <c r="V1625" s="241">
        <f>+U1625/T1625</f>
        <v>0</v>
      </c>
    </row>
    <row r="1626" spans="1:22" ht="15" thickTop="1" x14ac:dyDescent="0.3">
      <c r="C1626" s="58"/>
      <c r="E1626" s="148"/>
      <c r="F1626" s="202"/>
      <c r="G1626" s="242"/>
      <c r="H1626" s="203"/>
      <c r="I1626" s="202"/>
      <c r="J1626" s="148"/>
      <c r="K1626" s="203"/>
      <c r="L1626" s="202"/>
      <c r="M1626" s="148"/>
      <c r="N1626" s="204"/>
      <c r="O1626" s="205"/>
      <c r="P1626" s="206"/>
      <c r="Q1626" s="206"/>
      <c r="R1626" s="206"/>
    </row>
    <row r="1627" spans="1:22" ht="15.6" hidden="1" x14ac:dyDescent="0.3">
      <c r="A1627" s="56" t="s">
        <v>128</v>
      </c>
      <c r="B1627" s="81" t="s">
        <v>319</v>
      </c>
      <c r="C1627" s="58"/>
      <c r="E1627" s="148"/>
      <c r="F1627" s="202"/>
      <c r="G1627" s="148"/>
      <c r="H1627" s="203"/>
      <c r="I1627" s="202"/>
      <c r="J1627" s="148"/>
      <c r="K1627" s="203"/>
      <c r="L1627" s="202"/>
      <c r="M1627" s="148"/>
      <c r="N1627" s="204"/>
      <c r="O1627" s="205"/>
      <c r="P1627" s="206"/>
      <c r="Q1627" s="206"/>
      <c r="R1627" s="206"/>
    </row>
    <row r="1628" spans="1:22" ht="15.6" hidden="1" x14ac:dyDescent="0.3">
      <c r="A1628" s="56" t="s">
        <v>130</v>
      </c>
      <c r="B1628" s="81" t="s">
        <v>320</v>
      </c>
      <c r="C1628" s="58"/>
      <c r="E1628" s="148"/>
      <c r="F1628" s="202"/>
      <c r="G1628" s="148"/>
      <c r="H1628" s="203"/>
      <c r="I1628" s="202"/>
      <c r="J1628" s="148"/>
      <c r="K1628" s="203"/>
      <c r="L1628" s="202"/>
      <c r="M1628" s="148"/>
      <c r="N1628" s="204"/>
      <c r="O1628" s="205"/>
      <c r="P1628" s="206"/>
      <c r="Q1628" s="206"/>
      <c r="R1628" s="206"/>
    </row>
    <row r="1629" spans="1:22" hidden="1" x14ac:dyDescent="0.3">
      <c r="C1629" s="58"/>
      <c r="E1629" s="148"/>
      <c r="F1629" s="202"/>
      <c r="G1629" s="148"/>
      <c r="H1629" s="203"/>
      <c r="I1629" s="202"/>
      <c r="J1629" s="148"/>
      <c r="K1629" s="203"/>
      <c r="L1629" s="202"/>
      <c r="M1629" s="148"/>
      <c r="N1629" s="204"/>
      <c r="O1629" s="205"/>
      <c r="P1629" s="206"/>
      <c r="Q1629" s="206"/>
      <c r="R1629" s="206"/>
    </row>
    <row r="1630" spans="1:22" hidden="1" x14ac:dyDescent="0.3">
      <c r="A1630" s="56" t="s">
        <v>317</v>
      </c>
      <c r="C1630" s="58"/>
      <c r="E1630" s="148"/>
      <c r="F1630" s="202"/>
      <c r="G1630" s="148"/>
      <c r="H1630" s="203"/>
      <c r="I1630" s="202"/>
      <c r="J1630" s="148"/>
      <c r="K1630" s="203"/>
      <c r="L1630" s="202"/>
      <c r="M1630" s="148"/>
      <c r="N1630" s="204"/>
      <c r="O1630" s="205"/>
      <c r="P1630" s="206"/>
      <c r="Q1630" s="206"/>
      <c r="R1630" s="206"/>
    </row>
    <row r="1631" spans="1:22" ht="15" hidden="1" thickTop="1" x14ac:dyDescent="0.3">
      <c r="A1631" s="84" t="s">
        <v>3</v>
      </c>
      <c r="B1631" s="85" t="s">
        <v>135</v>
      </c>
      <c r="C1631" s="86" t="s">
        <v>5</v>
      </c>
      <c r="D1631" s="87" t="s">
        <v>6</v>
      </c>
      <c r="E1631" s="233" t="s">
        <v>28</v>
      </c>
      <c r="F1631" s="207" t="s">
        <v>28</v>
      </c>
      <c r="G1631" s="208"/>
      <c r="H1631" s="203"/>
      <c r="I1631" s="202"/>
      <c r="J1631" s="148"/>
      <c r="K1631" s="203"/>
      <c r="L1631" s="202"/>
      <c r="M1631" s="148"/>
      <c r="N1631" s="204"/>
      <c r="O1631" s="205"/>
      <c r="P1631" s="206"/>
      <c r="Q1631" s="206"/>
      <c r="R1631" s="206"/>
    </row>
    <row r="1632" spans="1:22" hidden="1" x14ac:dyDescent="0.3">
      <c r="A1632" s="90"/>
      <c r="B1632" s="91"/>
      <c r="C1632" s="92"/>
      <c r="D1632" s="93"/>
      <c r="E1632" s="209" t="s">
        <v>11</v>
      </c>
      <c r="F1632" s="210" t="s">
        <v>300</v>
      </c>
      <c r="G1632" s="208"/>
      <c r="H1632" s="203"/>
      <c r="I1632" s="202"/>
      <c r="J1632" s="148"/>
      <c r="K1632" s="203"/>
      <c r="L1632" s="202"/>
      <c r="M1632" s="148"/>
      <c r="N1632" s="204"/>
      <c r="O1632" s="205"/>
      <c r="P1632" s="206"/>
      <c r="Q1632" s="206"/>
      <c r="R1632" s="206"/>
    </row>
    <row r="1633" spans="1:22" ht="15" hidden="1" thickTop="1" x14ac:dyDescent="0.3">
      <c r="A1633" s="211"/>
      <c r="B1633" s="211" t="s">
        <v>321</v>
      </c>
      <c r="C1633" s="212" t="s">
        <v>289</v>
      </c>
      <c r="D1633" s="213">
        <v>1</v>
      </c>
      <c r="E1633" s="243">
        <v>652</v>
      </c>
      <c r="F1633" s="215">
        <f>+D1633*E1633</f>
        <v>652</v>
      </c>
      <c r="G1633" s="216"/>
      <c r="H1633" s="203"/>
      <c r="I1633" s="202"/>
      <c r="J1633" s="148"/>
      <c r="K1633" s="203"/>
      <c r="L1633" s="202"/>
      <c r="M1633" s="148"/>
      <c r="N1633" s="204"/>
      <c r="O1633" s="205"/>
      <c r="P1633" s="206"/>
      <c r="Q1633" s="206"/>
      <c r="R1633" s="206"/>
    </row>
    <row r="1634" spans="1:22" hidden="1" x14ac:dyDescent="0.3">
      <c r="A1634" s="217"/>
      <c r="B1634" s="217" t="s">
        <v>322</v>
      </c>
      <c r="C1634" s="218" t="s">
        <v>61</v>
      </c>
      <c r="D1634" s="219">
        <v>1</v>
      </c>
      <c r="E1634" s="216">
        <v>43</v>
      </c>
      <c r="F1634" s="223">
        <f>+D1634*E1634</f>
        <v>43</v>
      </c>
      <c r="G1634" s="224"/>
      <c r="H1634" s="203"/>
      <c r="I1634" s="202"/>
      <c r="J1634" s="148"/>
      <c r="K1634" s="203"/>
      <c r="L1634" s="202"/>
      <c r="M1634" s="148"/>
      <c r="N1634" s="204"/>
      <c r="O1634" s="205"/>
      <c r="P1634" s="206"/>
      <c r="Q1634" s="206"/>
      <c r="R1634" s="206"/>
    </row>
    <row r="1635" spans="1:22" hidden="1" x14ac:dyDescent="0.3">
      <c r="A1635" s="217"/>
      <c r="B1635" s="217" t="s">
        <v>323</v>
      </c>
      <c r="C1635" s="218" t="s">
        <v>35</v>
      </c>
      <c r="D1635" s="219">
        <v>0.6</v>
      </c>
      <c r="E1635" s="245">
        <f>+$E$1539</f>
        <v>88700.89</v>
      </c>
      <c r="F1635" s="223">
        <f>+D1635*E1635</f>
        <v>53220.534</v>
      </c>
      <c r="G1635" s="224"/>
      <c r="H1635" s="203"/>
      <c r="I1635" s="202"/>
      <c r="J1635" s="148"/>
      <c r="K1635" s="203"/>
      <c r="L1635" s="202"/>
      <c r="M1635" s="148"/>
      <c r="N1635" s="204"/>
      <c r="O1635" s="205"/>
      <c r="P1635" s="206"/>
      <c r="Q1635" s="206"/>
      <c r="R1635" s="206"/>
    </row>
    <row r="1636" spans="1:22" hidden="1" x14ac:dyDescent="0.3">
      <c r="A1636" s="217"/>
      <c r="B1636" s="217" t="s">
        <v>324</v>
      </c>
      <c r="C1636" s="218" t="s">
        <v>0</v>
      </c>
      <c r="D1636" s="219">
        <v>2</v>
      </c>
      <c r="E1636" s="245">
        <f>+$E$1516</f>
        <v>2172.2800000000002</v>
      </c>
      <c r="F1636" s="223">
        <f>+D1636*E1636</f>
        <v>4344.5600000000004</v>
      </c>
      <c r="G1636" s="224"/>
      <c r="H1636" s="203"/>
      <c r="I1636" s="202"/>
      <c r="J1636" s="148"/>
      <c r="K1636" s="203"/>
      <c r="L1636" s="202"/>
      <c r="M1636" s="148"/>
      <c r="N1636" s="204"/>
      <c r="O1636" s="205"/>
      <c r="P1636" s="206"/>
      <c r="Q1636" s="206"/>
      <c r="R1636" s="206"/>
    </row>
    <row r="1637" spans="1:22" hidden="1" x14ac:dyDescent="0.3">
      <c r="A1637" s="217"/>
      <c r="B1637" s="217" t="s">
        <v>325</v>
      </c>
      <c r="C1637" s="218" t="s">
        <v>35</v>
      </c>
      <c r="D1637" s="219">
        <v>0.1</v>
      </c>
      <c r="E1637" s="245">
        <f>+$E$1512</f>
        <v>152259.5</v>
      </c>
      <c r="F1637" s="223">
        <f>+D1637*E1637</f>
        <v>15225.95</v>
      </c>
      <c r="G1637" s="224"/>
      <c r="H1637" s="203"/>
      <c r="I1637" s="202"/>
      <c r="J1637" s="148"/>
      <c r="K1637" s="203"/>
      <c r="L1637" s="202"/>
      <c r="M1637" s="148"/>
      <c r="N1637" s="204"/>
      <c r="O1637" s="205"/>
      <c r="P1637" s="206"/>
      <c r="Q1637" s="206"/>
      <c r="R1637" s="206"/>
    </row>
    <row r="1638" spans="1:22" hidden="1" x14ac:dyDescent="0.3">
      <c r="A1638" s="228"/>
      <c r="B1638" s="228"/>
      <c r="C1638" s="115"/>
      <c r="D1638" s="229" t="s">
        <v>165</v>
      </c>
      <c r="E1638" s="230"/>
      <c r="F1638" s="231">
        <f>+G1638</f>
        <v>73486.043999999994</v>
      </c>
      <c r="G1638" s="232">
        <f>SUM(F1633:F1637)</f>
        <v>73486.043999999994</v>
      </c>
      <c r="H1638" s="203"/>
      <c r="I1638" s="202"/>
      <c r="J1638" s="148"/>
      <c r="K1638" s="203"/>
      <c r="L1638" s="202"/>
      <c r="M1638" s="148"/>
      <c r="N1638" s="204"/>
      <c r="O1638" s="205"/>
      <c r="P1638" s="206"/>
      <c r="Q1638" s="206"/>
      <c r="R1638" s="206"/>
      <c r="S1638" s="79"/>
    </row>
    <row r="1639" spans="1:22" hidden="1" x14ac:dyDescent="0.3">
      <c r="A1639" s="56" t="s">
        <v>166</v>
      </c>
      <c r="C1639" s="58"/>
      <c r="E1639" s="148"/>
      <c r="F1639" s="202"/>
      <c r="G1639" s="230"/>
      <c r="H1639" s="203"/>
      <c r="I1639" s="202"/>
      <c r="J1639" s="148"/>
      <c r="K1639" s="203"/>
      <c r="L1639" s="202"/>
      <c r="M1639" s="148"/>
      <c r="N1639" s="204"/>
      <c r="O1639" s="205"/>
      <c r="P1639" s="206"/>
      <c r="Q1639" s="206"/>
      <c r="R1639" s="206"/>
    </row>
    <row r="1640" spans="1:22" ht="15" hidden="1" thickTop="1" x14ac:dyDescent="0.3">
      <c r="A1640" s="84" t="s">
        <v>3</v>
      </c>
      <c r="B1640" s="85" t="s">
        <v>135</v>
      </c>
      <c r="C1640" s="86" t="s">
        <v>5</v>
      </c>
      <c r="D1640" s="87" t="s">
        <v>6</v>
      </c>
      <c r="E1640" s="233" t="s">
        <v>28</v>
      </c>
      <c r="F1640" s="207" t="s">
        <v>28</v>
      </c>
      <c r="G1640" s="208"/>
      <c r="H1640" s="203"/>
      <c r="I1640" s="202"/>
      <c r="J1640" s="148"/>
      <c r="K1640" s="203"/>
      <c r="L1640" s="202"/>
      <c r="M1640" s="148"/>
      <c r="N1640" s="204"/>
      <c r="O1640" s="205"/>
      <c r="P1640" s="206"/>
      <c r="Q1640" s="206"/>
      <c r="R1640" s="206"/>
    </row>
    <row r="1641" spans="1:22" hidden="1" x14ac:dyDescent="0.3">
      <c r="A1641" s="90"/>
      <c r="B1641" s="91"/>
      <c r="C1641" s="92"/>
      <c r="D1641" s="93"/>
      <c r="E1641" s="209" t="s">
        <v>11</v>
      </c>
      <c r="F1641" s="210" t="s">
        <v>300</v>
      </c>
      <c r="G1641" s="208"/>
      <c r="H1641" s="203"/>
      <c r="I1641" s="202"/>
      <c r="J1641" s="148"/>
      <c r="K1641" s="203"/>
      <c r="L1641" s="202"/>
      <c r="M1641" s="148"/>
      <c r="N1641" s="204"/>
      <c r="O1641" s="205"/>
      <c r="P1641" s="206"/>
      <c r="Q1641" s="206"/>
      <c r="R1641" s="206"/>
    </row>
    <row r="1642" spans="1:22" ht="15" hidden="1" thickTop="1" x14ac:dyDescent="0.3">
      <c r="A1642" s="211"/>
      <c r="B1642" s="211" t="s">
        <v>167</v>
      </c>
      <c r="C1642" s="212" t="s">
        <v>168</v>
      </c>
      <c r="D1642" s="213">
        <v>2</v>
      </c>
      <c r="E1642" s="234">
        <f>$F$22</f>
        <v>1238.96</v>
      </c>
      <c r="F1642" s="215">
        <f>ROUND(D1642*E1642,2)</f>
        <v>2477.92</v>
      </c>
      <c r="G1642" s="216"/>
      <c r="H1642" s="203"/>
      <c r="I1642" s="202"/>
      <c r="J1642" s="148"/>
      <c r="K1642" s="203"/>
      <c r="L1642" s="202"/>
      <c r="M1642" s="148"/>
      <c r="N1642" s="204"/>
      <c r="O1642" s="205"/>
      <c r="P1642" s="206"/>
      <c r="Q1642" s="206"/>
      <c r="R1642" s="206"/>
    </row>
    <row r="1643" spans="1:22" hidden="1" x14ac:dyDescent="0.3">
      <c r="A1643" s="217"/>
      <c r="B1643" s="217" t="s">
        <v>221</v>
      </c>
      <c r="C1643" s="218" t="s">
        <v>168</v>
      </c>
      <c r="D1643" s="219">
        <v>3</v>
      </c>
      <c r="E1643" s="235">
        <f>$F$39</f>
        <v>386.38</v>
      </c>
      <c r="F1643" s="221">
        <f>ROUND(D1643*E1643,2)</f>
        <v>1159.1400000000001</v>
      </c>
      <c r="G1643" s="216"/>
      <c r="H1643" s="203"/>
      <c r="I1643" s="202"/>
      <c r="J1643" s="148"/>
      <c r="K1643" s="203"/>
      <c r="L1643" s="202"/>
      <c r="M1643" s="148"/>
      <c r="N1643" s="204"/>
      <c r="O1643" s="205"/>
      <c r="P1643" s="206"/>
      <c r="Q1643" s="206"/>
      <c r="R1643" s="206"/>
    </row>
    <row r="1644" spans="1:22" hidden="1" x14ac:dyDescent="0.3">
      <c r="A1644" s="228"/>
      <c r="B1644" s="228"/>
      <c r="C1644" s="115"/>
      <c r="D1644" s="229" t="s">
        <v>170</v>
      </c>
      <c r="E1644" s="230"/>
      <c r="F1644" s="231">
        <f>+G1644</f>
        <v>3637.0600000000004</v>
      </c>
      <c r="G1644" s="232">
        <f>SUM(F1642:F1643)</f>
        <v>3637.0600000000004</v>
      </c>
      <c r="H1644" s="203"/>
      <c r="I1644" s="202"/>
      <c r="J1644" s="148"/>
      <c r="K1644" s="203"/>
      <c r="L1644" s="202"/>
      <c r="M1644" s="148"/>
      <c r="N1644" s="204"/>
      <c r="O1644" s="205"/>
      <c r="P1644" s="206"/>
      <c r="Q1644" s="206"/>
      <c r="R1644" s="206"/>
      <c r="S1644" s="79"/>
    </row>
    <row r="1645" spans="1:22" hidden="1" x14ac:dyDescent="0.3">
      <c r="C1645" s="58"/>
      <c r="E1645" s="148"/>
      <c r="F1645" s="236"/>
      <c r="G1645" s="230"/>
      <c r="H1645" s="203"/>
      <c r="I1645" s="202"/>
      <c r="J1645" s="148"/>
      <c r="K1645" s="203"/>
      <c r="L1645" s="202"/>
      <c r="M1645" s="148"/>
      <c r="N1645" s="204"/>
      <c r="O1645" s="205"/>
      <c r="P1645" s="206"/>
      <c r="Q1645" s="206"/>
      <c r="R1645" s="206"/>
    </row>
    <row r="1646" spans="1:22" ht="15.6" hidden="1" thickTop="1" thickBot="1" x14ac:dyDescent="0.35">
      <c r="B1646" s="56" t="str">
        <f>+B1627</f>
        <v>VALVULAS EXCLUSAS DE FºFº ø 90 mm</v>
      </c>
      <c r="C1646" s="58" t="str">
        <f>+B1628</f>
        <v>(Un)</v>
      </c>
      <c r="D1646" s="75" t="s">
        <v>171</v>
      </c>
      <c r="E1646" s="148"/>
      <c r="F1646" s="237">
        <f>+G1646</f>
        <v>77123.103999999992</v>
      </c>
      <c r="G1646" s="237">
        <f>+G1644+G1638</f>
        <v>77123.103999999992</v>
      </c>
      <c r="H1646" s="203"/>
      <c r="I1646" s="202"/>
      <c r="J1646" s="148"/>
      <c r="K1646" s="203"/>
      <c r="L1646" s="202"/>
      <c r="M1646" s="148"/>
      <c r="N1646" s="204"/>
      <c r="O1646" s="205"/>
      <c r="P1646" s="206"/>
      <c r="Q1646" s="206"/>
      <c r="R1646" s="238"/>
      <c r="S1646" s="239"/>
      <c r="T1646" s="240">
        <f>+F1646</f>
        <v>77123.103999999992</v>
      </c>
      <c r="U1646" s="240">
        <f>+I1646</f>
        <v>0</v>
      </c>
      <c r="V1646" s="241">
        <f>+U1646/T1646</f>
        <v>0</v>
      </c>
    </row>
    <row r="1647" spans="1:22" ht="15" hidden="1" thickTop="1" x14ac:dyDescent="0.3">
      <c r="C1647" s="58"/>
      <c r="E1647" s="148"/>
      <c r="F1647" s="202"/>
      <c r="G1647" s="242"/>
      <c r="H1647" s="203"/>
      <c r="I1647" s="202"/>
      <c r="J1647" s="148"/>
      <c r="K1647" s="203"/>
      <c r="L1647" s="202"/>
      <c r="M1647" s="148"/>
      <c r="N1647" s="204"/>
      <c r="O1647" s="205"/>
      <c r="P1647" s="206"/>
      <c r="Q1647" s="206"/>
      <c r="R1647" s="206"/>
    </row>
    <row r="1648" spans="1:22" ht="15.6" hidden="1" x14ac:dyDescent="0.3">
      <c r="A1648" s="56" t="s">
        <v>128</v>
      </c>
      <c r="B1648" s="81" t="s">
        <v>326</v>
      </c>
      <c r="C1648" s="58"/>
      <c r="E1648" s="148"/>
      <c r="F1648" s="202"/>
      <c r="G1648" s="148"/>
      <c r="H1648" s="203"/>
      <c r="I1648" s="202"/>
      <c r="J1648" s="148"/>
      <c r="K1648" s="203"/>
      <c r="L1648" s="202"/>
      <c r="M1648" s="148"/>
      <c r="N1648" s="204"/>
      <c r="O1648" s="205"/>
      <c r="P1648" s="206"/>
      <c r="Q1648" s="206"/>
      <c r="R1648" s="206"/>
    </row>
    <row r="1649" spans="1:19" ht="15.6" hidden="1" x14ac:dyDescent="0.3">
      <c r="A1649" s="56" t="s">
        <v>130</v>
      </c>
      <c r="B1649" s="81" t="s">
        <v>320</v>
      </c>
      <c r="C1649" s="58"/>
      <c r="E1649" s="148"/>
      <c r="F1649" s="202"/>
      <c r="G1649" s="148"/>
      <c r="H1649" s="203"/>
      <c r="I1649" s="202"/>
      <c r="J1649" s="148"/>
      <c r="K1649" s="203"/>
      <c r="L1649" s="202"/>
      <c r="M1649" s="148"/>
      <c r="N1649" s="204"/>
      <c r="O1649" s="205"/>
      <c r="P1649" s="206"/>
      <c r="Q1649" s="206"/>
      <c r="R1649" s="206"/>
    </row>
    <row r="1650" spans="1:19" hidden="1" x14ac:dyDescent="0.3">
      <c r="C1650" s="58"/>
      <c r="E1650" s="148"/>
      <c r="F1650" s="202"/>
      <c r="G1650" s="148"/>
      <c r="H1650" s="203"/>
      <c r="I1650" s="202"/>
      <c r="J1650" s="148"/>
      <c r="K1650" s="203"/>
      <c r="L1650" s="202"/>
      <c r="M1650" s="148"/>
      <c r="N1650" s="204"/>
      <c r="O1650" s="205"/>
      <c r="P1650" s="206"/>
      <c r="Q1650" s="206"/>
      <c r="R1650" s="206"/>
    </row>
    <row r="1651" spans="1:19" hidden="1" x14ac:dyDescent="0.3">
      <c r="A1651" s="56" t="s">
        <v>317</v>
      </c>
      <c r="C1651" s="58"/>
      <c r="E1651" s="148"/>
      <c r="F1651" s="202"/>
      <c r="G1651" s="148"/>
      <c r="H1651" s="203"/>
      <c r="I1651" s="202"/>
      <c r="J1651" s="148"/>
      <c r="K1651" s="203"/>
      <c r="L1651" s="202"/>
      <c r="M1651" s="148"/>
      <c r="N1651" s="204"/>
      <c r="O1651" s="205"/>
      <c r="P1651" s="206"/>
      <c r="Q1651" s="206"/>
      <c r="R1651" s="206"/>
    </row>
    <row r="1652" spans="1:19" ht="15" hidden="1" thickTop="1" x14ac:dyDescent="0.3">
      <c r="A1652" s="84" t="s">
        <v>3</v>
      </c>
      <c r="B1652" s="85" t="s">
        <v>135</v>
      </c>
      <c r="C1652" s="86" t="s">
        <v>5</v>
      </c>
      <c r="D1652" s="87" t="s">
        <v>6</v>
      </c>
      <c r="E1652" s="233" t="s">
        <v>28</v>
      </c>
      <c r="F1652" s="207" t="s">
        <v>28</v>
      </c>
      <c r="G1652" s="208"/>
      <c r="H1652" s="203"/>
      <c r="I1652" s="202"/>
      <c r="J1652" s="148"/>
      <c r="K1652" s="203"/>
      <c r="L1652" s="202"/>
      <c r="M1652" s="148"/>
      <c r="N1652" s="204"/>
      <c r="O1652" s="205"/>
      <c r="P1652" s="206"/>
      <c r="Q1652" s="206"/>
      <c r="R1652" s="206"/>
    </row>
    <row r="1653" spans="1:19" hidden="1" x14ac:dyDescent="0.3">
      <c r="A1653" s="90"/>
      <c r="B1653" s="91"/>
      <c r="C1653" s="92"/>
      <c r="D1653" s="93"/>
      <c r="E1653" s="209" t="s">
        <v>11</v>
      </c>
      <c r="F1653" s="210" t="s">
        <v>300</v>
      </c>
      <c r="G1653" s="208"/>
      <c r="H1653" s="203"/>
      <c r="I1653" s="202"/>
      <c r="J1653" s="148"/>
      <c r="K1653" s="203"/>
      <c r="L1653" s="202"/>
      <c r="M1653" s="148"/>
      <c r="N1653" s="204"/>
      <c r="O1653" s="205"/>
      <c r="P1653" s="206"/>
      <c r="Q1653" s="206"/>
      <c r="R1653" s="206"/>
    </row>
    <row r="1654" spans="1:19" ht="15" hidden="1" thickTop="1" x14ac:dyDescent="0.3">
      <c r="A1654" s="211"/>
      <c r="B1654" s="211" t="s">
        <v>327</v>
      </c>
      <c r="C1654" s="212" t="s">
        <v>289</v>
      </c>
      <c r="D1654" s="213">
        <v>1</v>
      </c>
      <c r="E1654" s="243">
        <v>450</v>
      </c>
      <c r="F1654" s="215">
        <f>+D1654*E1654</f>
        <v>450</v>
      </c>
      <c r="G1654" s="216"/>
      <c r="H1654" s="203"/>
      <c r="I1654" s="202"/>
      <c r="J1654" s="148"/>
      <c r="K1654" s="203"/>
      <c r="L1654" s="202"/>
      <c r="M1654" s="148"/>
      <c r="N1654" s="204"/>
      <c r="O1654" s="205"/>
      <c r="P1654" s="206"/>
      <c r="Q1654" s="206"/>
      <c r="R1654" s="206"/>
    </row>
    <row r="1655" spans="1:19" hidden="1" x14ac:dyDescent="0.3">
      <c r="A1655" s="217"/>
      <c r="B1655" s="217" t="s">
        <v>328</v>
      </c>
      <c r="C1655" s="218" t="s">
        <v>61</v>
      </c>
      <c r="D1655" s="219">
        <v>1</v>
      </c>
      <c r="E1655" s="216">
        <v>43</v>
      </c>
      <c r="F1655" s="223">
        <f>+D1655*E1655</f>
        <v>43</v>
      </c>
      <c r="G1655" s="224"/>
      <c r="H1655" s="203"/>
      <c r="I1655" s="202"/>
      <c r="J1655" s="148"/>
      <c r="K1655" s="203"/>
      <c r="L1655" s="202"/>
      <c r="M1655" s="148"/>
      <c r="N1655" s="204"/>
      <c r="O1655" s="205"/>
      <c r="P1655" s="206"/>
      <c r="Q1655" s="206"/>
      <c r="R1655" s="206"/>
    </row>
    <row r="1656" spans="1:19" hidden="1" x14ac:dyDescent="0.3">
      <c r="A1656" s="217"/>
      <c r="B1656" s="217" t="s">
        <v>323</v>
      </c>
      <c r="C1656" s="218" t="s">
        <v>35</v>
      </c>
      <c r="D1656" s="219">
        <v>0.6</v>
      </c>
      <c r="E1656" s="245">
        <f>+$E$1539</f>
        <v>88700.89</v>
      </c>
      <c r="F1656" s="223">
        <f>+D1656*E1656</f>
        <v>53220.534</v>
      </c>
      <c r="G1656" s="224"/>
      <c r="H1656" s="203"/>
      <c r="I1656" s="202"/>
      <c r="J1656" s="148"/>
      <c r="K1656" s="203"/>
      <c r="L1656" s="202"/>
      <c r="M1656" s="148"/>
      <c r="N1656" s="204"/>
      <c r="O1656" s="205"/>
      <c r="P1656" s="206"/>
      <c r="Q1656" s="206"/>
      <c r="R1656" s="206"/>
    </row>
    <row r="1657" spans="1:19" hidden="1" x14ac:dyDescent="0.3">
      <c r="A1657" s="217"/>
      <c r="B1657" s="217" t="s">
        <v>324</v>
      </c>
      <c r="C1657" s="218" t="s">
        <v>0</v>
      </c>
      <c r="D1657" s="219">
        <v>2</v>
      </c>
      <c r="E1657" s="245">
        <f>+$E$1516</f>
        <v>2172.2800000000002</v>
      </c>
      <c r="F1657" s="223">
        <f>+D1657*E1657</f>
        <v>4344.5600000000004</v>
      </c>
      <c r="G1657" s="224"/>
      <c r="H1657" s="203"/>
      <c r="I1657" s="202"/>
      <c r="J1657" s="148"/>
      <c r="K1657" s="203"/>
      <c r="L1657" s="202"/>
      <c r="M1657" s="148"/>
      <c r="N1657" s="204"/>
      <c r="O1657" s="205"/>
      <c r="P1657" s="206"/>
      <c r="Q1657" s="206"/>
      <c r="R1657" s="206"/>
    </row>
    <row r="1658" spans="1:19" hidden="1" x14ac:dyDescent="0.3">
      <c r="A1658" s="217"/>
      <c r="B1658" s="217" t="s">
        <v>325</v>
      </c>
      <c r="C1658" s="218" t="s">
        <v>35</v>
      </c>
      <c r="D1658" s="219">
        <v>0.1</v>
      </c>
      <c r="E1658" s="245">
        <f>+$E$1512</f>
        <v>152259.5</v>
      </c>
      <c r="F1658" s="223">
        <f>+D1658*E1658</f>
        <v>15225.95</v>
      </c>
      <c r="G1658" s="224"/>
      <c r="H1658" s="203"/>
      <c r="I1658" s="202"/>
      <c r="J1658" s="148"/>
      <c r="K1658" s="203"/>
      <c r="L1658" s="202"/>
      <c r="M1658" s="148"/>
      <c r="N1658" s="204"/>
      <c r="O1658" s="205"/>
      <c r="P1658" s="206"/>
      <c r="Q1658" s="206"/>
      <c r="R1658" s="206"/>
    </row>
    <row r="1659" spans="1:19" hidden="1" x14ac:dyDescent="0.3">
      <c r="A1659" s="228"/>
      <c r="B1659" s="228"/>
      <c r="C1659" s="115"/>
      <c r="D1659" s="229" t="s">
        <v>165</v>
      </c>
      <c r="E1659" s="230"/>
      <c r="F1659" s="231">
        <f>+G1659</f>
        <v>73284.043999999994</v>
      </c>
      <c r="G1659" s="232">
        <f>SUM(F1654:F1658)</f>
        <v>73284.043999999994</v>
      </c>
      <c r="H1659" s="203"/>
      <c r="I1659" s="202"/>
      <c r="J1659" s="148"/>
      <c r="K1659" s="203"/>
      <c r="L1659" s="202"/>
      <c r="M1659" s="148"/>
      <c r="N1659" s="204"/>
      <c r="O1659" s="205"/>
      <c r="P1659" s="206"/>
      <c r="Q1659" s="206"/>
      <c r="R1659" s="206"/>
      <c r="S1659" s="79"/>
    </row>
    <row r="1660" spans="1:19" hidden="1" x14ac:dyDescent="0.3">
      <c r="A1660" s="56" t="s">
        <v>166</v>
      </c>
      <c r="C1660" s="58"/>
      <c r="E1660" s="148"/>
      <c r="F1660" s="202"/>
      <c r="G1660" s="230"/>
      <c r="H1660" s="203"/>
      <c r="I1660" s="202"/>
      <c r="J1660" s="148"/>
      <c r="K1660" s="203"/>
      <c r="L1660" s="202"/>
      <c r="M1660" s="148"/>
      <c r="N1660" s="204"/>
      <c r="O1660" s="205"/>
      <c r="P1660" s="206"/>
      <c r="Q1660" s="206"/>
      <c r="R1660" s="206"/>
    </row>
    <row r="1661" spans="1:19" ht="15" hidden="1" thickTop="1" x14ac:dyDescent="0.3">
      <c r="A1661" s="84" t="s">
        <v>3</v>
      </c>
      <c r="B1661" s="85" t="s">
        <v>135</v>
      </c>
      <c r="C1661" s="86" t="s">
        <v>5</v>
      </c>
      <c r="D1661" s="87" t="s">
        <v>6</v>
      </c>
      <c r="E1661" s="233" t="s">
        <v>28</v>
      </c>
      <c r="F1661" s="207" t="s">
        <v>28</v>
      </c>
      <c r="G1661" s="208"/>
      <c r="H1661" s="203"/>
      <c r="I1661" s="202"/>
      <c r="J1661" s="148"/>
      <c r="K1661" s="203"/>
      <c r="L1661" s="202"/>
      <c r="M1661" s="148"/>
      <c r="N1661" s="204"/>
      <c r="O1661" s="205"/>
      <c r="P1661" s="206"/>
      <c r="Q1661" s="206"/>
      <c r="R1661" s="206"/>
    </row>
    <row r="1662" spans="1:19" hidden="1" x14ac:dyDescent="0.3">
      <c r="A1662" s="90"/>
      <c r="B1662" s="91"/>
      <c r="C1662" s="92"/>
      <c r="D1662" s="93"/>
      <c r="E1662" s="209" t="s">
        <v>11</v>
      </c>
      <c r="F1662" s="210" t="s">
        <v>300</v>
      </c>
      <c r="G1662" s="208"/>
      <c r="H1662" s="203"/>
      <c r="I1662" s="202"/>
      <c r="J1662" s="148"/>
      <c r="K1662" s="203"/>
      <c r="L1662" s="202"/>
      <c r="M1662" s="148"/>
      <c r="N1662" s="204"/>
      <c r="O1662" s="205"/>
      <c r="P1662" s="206"/>
      <c r="Q1662" s="206"/>
      <c r="R1662" s="206"/>
    </row>
    <row r="1663" spans="1:19" ht="15" hidden="1" thickTop="1" x14ac:dyDescent="0.3">
      <c r="A1663" s="211"/>
      <c r="B1663" s="211" t="s">
        <v>167</v>
      </c>
      <c r="C1663" s="212" t="s">
        <v>168</v>
      </c>
      <c r="D1663" s="213">
        <v>2</v>
      </c>
      <c r="E1663" s="234">
        <f>$F$22</f>
        <v>1238.96</v>
      </c>
      <c r="F1663" s="215">
        <f>ROUND(D1663*E1663,2)</f>
        <v>2477.92</v>
      </c>
      <c r="G1663" s="216"/>
      <c r="H1663" s="203"/>
      <c r="I1663" s="202"/>
      <c r="J1663" s="148"/>
      <c r="K1663" s="203"/>
      <c r="L1663" s="202"/>
      <c r="M1663" s="148"/>
      <c r="N1663" s="204"/>
      <c r="O1663" s="205"/>
      <c r="P1663" s="206"/>
      <c r="Q1663" s="206"/>
      <c r="R1663" s="206"/>
    </row>
    <row r="1664" spans="1:19" hidden="1" x14ac:dyDescent="0.3">
      <c r="A1664" s="217"/>
      <c r="B1664" s="217" t="s">
        <v>221</v>
      </c>
      <c r="C1664" s="218" t="s">
        <v>168</v>
      </c>
      <c r="D1664" s="219">
        <v>3</v>
      </c>
      <c r="E1664" s="235">
        <f>$F$39</f>
        <v>386.38</v>
      </c>
      <c r="F1664" s="221">
        <f>ROUND(D1664*E1664,2)</f>
        <v>1159.1400000000001</v>
      </c>
      <c r="G1664" s="216"/>
      <c r="H1664" s="203"/>
      <c r="I1664" s="202"/>
      <c r="J1664" s="148"/>
      <c r="K1664" s="203"/>
      <c r="L1664" s="202"/>
      <c r="M1664" s="148"/>
      <c r="N1664" s="204"/>
      <c r="O1664" s="205"/>
      <c r="P1664" s="206"/>
      <c r="Q1664" s="206"/>
      <c r="R1664" s="206"/>
    </row>
    <row r="1665" spans="1:22" hidden="1" x14ac:dyDescent="0.3">
      <c r="A1665" s="228"/>
      <c r="B1665" s="228"/>
      <c r="C1665" s="115"/>
      <c r="D1665" s="229" t="s">
        <v>170</v>
      </c>
      <c r="E1665" s="230"/>
      <c r="F1665" s="231">
        <f>+G1665</f>
        <v>3637.0600000000004</v>
      </c>
      <c r="G1665" s="232">
        <f>SUM(F1663:F1664)</f>
        <v>3637.0600000000004</v>
      </c>
      <c r="H1665" s="203"/>
      <c r="I1665" s="202"/>
      <c r="J1665" s="148"/>
      <c r="K1665" s="203"/>
      <c r="L1665" s="202"/>
      <c r="M1665" s="148"/>
      <c r="N1665" s="204"/>
      <c r="O1665" s="205"/>
      <c r="P1665" s="206"/>
      <c r="Q1665" s="206"/>
      <c r="R1665" s="206"/>
      <c r="S1665" s="79"/>
    </row>
    <row r="1666" spans="1:22" hidden="1" x14ac:dyDescent="0.3">
      <c r="C1666" s="58"/>
      <c r="E1666" s="148"/>
      <c r="F1666" s="236"/>
      <c r="G1666" s="230"/>
      <c r="H1666" s="203"/>
      <c r="I1666" s="202"/>
      <c r="J1666" s="148"/>
      <c r="K1666" s="203"/>
      <c r="L1666" s="202"/>
      <c r="M1666" s="148"/>
      <c r="N1666" s="204"/>
      <c r="O1666" s="205"/>
      <c r="P1666" s="206"/>
      <c r="Q1666" s="206"/>
      <c r="R1666" s="206"/>
    </row>
    <row r="1667" spans="1:22" ht="15.6" hidden="1" thickTop="1" thickBot="1" x14ac:dyDescent="0.35">
      <c r="B1667" s="56" t="str">
        <f>+B1648</f>
        <v>HIDRANTE A RESORTE DE FºFº DE 90 mm</v>
      </c>
      <c r="C1667" s="58" t="str">
        <f>+B1649</f>
        <v>(Un)</v>
      </c>
      <c r="D1667" s="75" t="s">
        <v>171</v>
      </c>
      <c r="E1667" s="148"/>
      <c r="F1667" s="237">
        <f>+G1667</f>
        <v>76921.103999999992</v>
      </c>
      <c r="G1667" s="237">
        <f>+G1665+G1659</f>
        <v>76921.103999999992</v>
      </c>
      <c r="H1667" s="203"/>
      <c r="I1667" s="202"/>
      <c r="J1667" s="148"/>
      <c r="K1667" s="203"/>
      <c r="L1667" s="202"/>
      <c r="M1667" s="148"/>
      <c r="N1667" s="204"/>
      <c r="O1667" s="205"/>
      <c r="P1667" s="206"/>
      <c r="Q1667" s="206"/>
      <c r="R1667" s="238"/>
      <c r="S1667" s="239"/>
      <c r="T1667" s="240">
        <f>+F1667</f>
        <v>76921.103999999992</v>
      </c>
      <c r="U1667" s="240">
        <f>+I1667</f>
        <v>0</v>
      </c>
      <c r="V1667" s="241">
        <f>+U1667/T1667</f>
        <v>0</v>
      </c>
    </row>
    <row r="1668" spans="1:22" ht="15" hidden="1" thickTop="1" x14ac:dyDescent="0.3">
      <c r="C1668" s="58"/>
      <c r="E1668" s="148"/>
      <c r="F1668" s="202"/>
      <c r="G1668" s="242"/>
      <c r="H1668" s="203"/>
      <c r="I1668" s="202"/>
      <c r="J1668" s="148"/>
      <c r="K1668" s="203"/>
      <c r="L1668" s="202"/>
      <c r="M1668" s="148"/>
      <c r="N1668" s="204"/>
      <c r="O1668" s="205"/>
      <c r="P1668" s="206"/>
      <c r="Q1668" s="206"/>
      <c r="R1668" s="206"/>
    </row>
    <row r="1669" spans="1:22" ht="15.6" x14ac:dyDescent="0.3">
      <c r="A1669" s="56" t="s">
        <v>128</v>
      </c>
      <c r="B1669" s="81" t="s">
        <v>329</v>
      </c>
      <c r="C1669" s="58"/>
      <c r="E1669" s="148"/>
      <c r="F1669" s="202"/>
      <c r="G1669" s="148"/>
      <c r="H1669" s="203"/>
      <c r="I1669" s="202"/>
      <c r="J1669" s="148"/>
      <c r="K1669" s="203"/>
      <c r="L1669" s="202"/>
      <c r="M1669" s="148"/>
      <c r="N1669" s="204"/>
      <c r="O1669" s="205"/>
      <c r="P1669" s="206"/>
      <c r="Q1669" s="206"/>
      <c r="R1669" s="206"/>
    </row>
    <row r="1670" spans="1:22" ht="15.6" x14ac:dyDescent="0.3">
      <c r="A1670" s="56" t="s">
        <v>130</v>
      </c>
      <c r="B1670" s="81" t="s">
        <v>330</v>
      </c>
      <c r="C1670" s="58"/>
      <c r="E1670" s="148"/>
      <c r="F1670" s="202"/>
      <c r="G1670" s="148"/>
      <c r="H1670" s="203"/>
      <c r="I1670" s="202"/>
      <c r="J1670" s="148"/>
      <c r="K1670" s="203"/>
      <c r="L1670" s="202"/>
      <c r="M1670" s="148"/>
      <c r="N1670" s="204"/>
      <c r="O1670" s="205"/>
      <c r="P1670" s="206"/>
      <c r="Q1670" s="206"/>
      <c r="R1670" s="206"/>
    </row>
    <row r="1671" spans="1:22" x14ac:dyDescent="0.3">
      <c r="C1671" s="58"/>
      <c r="E1671" s="148"/>
      <c r="F1671" s="202"/>
      <c r="G1671" s="148"/>
      <c r="H1671" s="203"/>
      <c r="I1671" s="202"/>
      <c r="J1671" s="148"/>
      <c r="K1671" s="203"/>
      <c r="L1671" s="202"/>
      <c r="M1671" s="148"/>
      <c r="N1671" s="204"/>
      <c r="O1671" s="205"/>
      <c r="P1671" s="206"/>
      <c r="Q1671" s="206"/>
      <c r="R1671" s="206"/>
    </row>
    <row r="1672" spans="1:22" ht="15" thickBot="1" x14ac:dyDescent="0.35">
      <c r="A1672" s="56" t="s">
        <v>317</v>
      </c>
      <c r="C1672" s="58"/>
      <c r="E1672" s="148"/>
      <c r="F1672" s="202"/>
      <c r="G1672" s="148"/>
      <c r="H1672" s="203"/>
      <c r="I1672" s="202"/>
      <c r="J1672" s="148"/>
      <c r="K1672" s="203"/>
      <c r="L1672" s="202"/>
      <c r="M1672" s="148"/>
      <c r="N1672" s="204"/>
      <c r="O1672" s="205"/>
      <c r="P1672" s="206"/>
      <c r="Q1672" s="206"/>
      <c r="R1672" s="206"/>
    </row>
    <row r="1673" spans="1:22" ht="15" thickTop="1" x14ac:dyDescent="0.3">
      <c r="A1673" s="84" t="s">
        <v>3</v>
      </c>
      <c r="B1673" s="85" t="s">
        <v>135</v>
      </c>
      <c r="C1673" s="86" t="s">
        <v>5</v>
      </c>
      <c r="D1673" s="87" t="s">
        <v>6</v>
      </c>
      <c r="E1673" s="233" t="s">
        <v>28</v>
      </c>
      <c r="F1673" s="207" t="s">
        <v>28</v>
      </c>
      <c r="G1673" s="208"/>
      <c r="H1673" s="203"/>
      <c r="I1673" s="202"/>
      <c r="J1673" s="148"/>
      <c r="K1673" s="203"/>
      <c r="L1673" s="202"/>
      <c r="M1673" s="148"/>
      <c r="N1673" s="204"/>
      <c r="O1673" s="205"/>
      <c r="P1673" s="206"/>
      <c r="Q1673" s="206"/>
      <c r="R1673" s="206"/>
    </row>
    <row r="1674" spans="1:22" ht="15" thickBot="1" x14ac:dyDescent="0.35">
      <c r="A1674" s="90"/>
      <c r="B1674" s="91"/>
      <c r="C1674" s="92"/>
      <c r="D1674" s="93"/>
      <c r="E1674" s="209" t="s">
        <v>11</v>
      </c>
      <c r="F1674" s="210" t="s">
        <v>300</v>
      </c>
      <c r="G1674" s="208"/>
      <c r="H1674" s="203"/>
      <c r="I1674" s="202"/>
      <c r="J1674" s="148"/>
      <c r="K1674" s="203"/>
      <c r="L1674" s="202"/>
      <c r="M1674" s="148"/>
      <c r="N1674" s="204"/>
      <c r="O1674" s="205"/>
      <c r="P1674" s="206"/>
      <c r="Q1674" s="206"/>
      <c r="R1674" s="206"/>
    </row>
    <row r="1675" spans="1:22" ht="15" thickTop="1" x14ac:dyDescent="0.3">
      <c r="A1675" s="211"/>
      <c r="B1675" s="211" t="s">
        <v>318</v>
      </c>
      <c r="C1675" s="212" t="s">
        <v>69</v>
      </c>
      <c r="D1675" s="213">
        <v>6</v>
      </c>
      <c r="E1675" s="243">
        <f>+E1614</f>
        <v>7.2833333333333341</v>
      </c>
      <c r="F1675" s="215">
        <f>+D1675*E1675</f>
        <v>43.7</v>
      </c>
      <c r="G1675" s="216"/>
      <c r="H1675" s="203"/>
      <c r="I1675" s="202"/>
      <c r="J1675" s="148"/>
      <c r="K1675" s="203"/>
      <c r="L1675" s="202"/>
      <c r="M1675" s="148"/>
      <c r="N1675" s="204"/>
      <c r="O1675" s="205"/>
      <c r="P1675" s="206"/>
      <c r="Q1675" s="206"/>
      <c r="R1675" s="206"/>
    </row>
    <row r="1676" spans="1:22" x14ac:dyDescent="0.3">
      <c r="A1676" s="217"/>
      <c r="B1676" s="217" t="str">
        <f>[1]LISTAS!$C$13</f>
        <v>Seguro Obrero</v>
      </c>
      <c r="C1676" s="218" t="str">
        <f>[1]LISTAS!$D$13</f>
        <v>hs</v>
      </c>
      <c r="D1676" s="219">
        <v>0.1</v>
      </c>
      <c r="E1676" s="244">
        <f>+E1615</f>
        <v>12.4</v>
      </c>
      <c r="F1676" s="244">
        <f>ROUND(D1676*E1676,2)</f>
        <v>1.24</v>
      </c>
      <c r="G1676" s="244"/>
      <c r="H1676" s="203"/>
      <c r="I1676" s="202"/>
      <c r="J1676" s="148"/>
      <c r="K1676" s="203"/>
      <c r="L1676" s="202"/>
      <c r="M1676" s="148"/>
      <c r="N1676" s="204"/>
      <c r="O1676" s="205"/>
      <c r="P1676" s="206"/>
      <c r="Q1676" s="206"/>
      <c r="R1676" s="206"/>
    </row>
    <row r="1677" spans="1:22" x14ac:dyDescent="0.3">
      <c r="A1677" s="217"/>
      <c r="B1677" s="217" t="s">
        <v>237</v>
      </c>
      <c r="C1677" s="218" t="s">
        <v>1</v>
      </c>
      <c r="D1677" s="219">
        <v>1</v>
      </c>
      <c r="E1677" s="216">
        <f>+F1675*0.1</f>
        <v>4.37</v>
      </c>
      <c r="F1677" s="223">
        <f>+D1677*E1677</f>
        <v>4.37</v>
      </c>
      <c r="G1677" s="224"/>
      <c r="H1677" s="203"/>
      <c r="I1677" s="202"/>
      <c r="J1677" s="148"/>
      <c r="K1677" s="203"/>
      <c r="L1677" s="202"/>
      <c r="M1677" s="148"/>
      <c r="N1677" s="204"/>
      <c r="O1677" s="205"/>
      <c r="P1677" s="206"/>
      <c r="Q1677" s="206"/>
      <c r="R1677" s="206"/>
    </row>
    <row r="1678" spans="1:22" x14ac:dyDescent="0.3">
      <c r="A1678" s="228"/>
      <c r="B1678" s="228"/>
      <c r="C1678" s="115"/>
      <c r="D1678" s="229" t="s">
        <v>165</v>
      </c>
      <c r="E1678" s="230"/>
      <c r="F1678" s="231">
        <f>+G1678</f>
        <v>49.31</v>
      </c>
      <c r="G1678" s="232">
        <f>SUM(F1675:F1677)</f>
        <v>49.31</v>
      </c>
      <c r="H1678" s="203"/>
      <c r="I1678" s="202"/>
      <c r="J1678" s="148"/>
      <c r="K1678" s="203"/>
      <c r="L1678" s="202"/>
      <c r="M1678" s="148"/>
      <c r="N1678" s="204"/>
      <c r="O1678" s="205"/>
      <c r="P1678" s="206"/>
      <c r="Q1678" s="206"/>
      <c r="R1678" s="206"/>
      <c r="S1678" s="79"/>
    </row>
    <row r="1679" spans="1:22" ht="15" thickBot="1" x14ac:dyDescent="0.35">
      <c r="A1679" s="56" t="s">
        <v>166</v>
      </c>
      <c r="C1679" s="58"/>
      <c r="E1679" s="148"/>
      <c r="F1679" s="202"/>
      <c r="G1679" s="230"/>
      <c r="H1679" s="203"/>
      <c r="I1679" s="202"/>
      <c r="J1679" s="148"/>
      <c r="K1679" s="203"/>
      <c r="L1679" s="202"/>
      <c r="M1679" s="148"/>
      <c r="N1679" s="204"/>
      <c r="O1679" s="205"/>
      <c r="P1679" s="206"/>
      <c r="Q1679" s="206"/>
      <c r="R1679" s="206"/>
    </row>
    <row r="1680" spans="1:22" ht="15" thickTop="1" x14ac:dyDescent="0.3">
      <c r="A1680" s="84" t="s">
        <v>3</v>
      </c>
      <c r="B1680" s="85" t="s">
        <v>135</v>
      </c>
      <c r="C1680" s="86" t="s">
        <v>5</v>
      </c>
      <c r="D1680" s="87" t="s">
        <v>6</v>
      </c>
      <c r="E1680" s="233" t="s">
        <v>28</v>
      </c>
      <c r="F1680" s="207" t="s">
        <v>28</v>
      </c>
      <c r="G1680" s="208"/>
      <c r="H1680" s="203"/>
      <c r="I1680" s="202"/>
      <c r="J1680" s="148"/>
      <c r="K1680" s="203"/>
      <c r="L1680" s="202"/>
      <c r="M1680" s="148"/>
      <c r="N1680" s="204"/>
      <c r="O1680" s="205"/>
      <c r="P1680" s="206"/>
      <c r="Q1680" s="206"/>
      <c r="R1680" s="206"/>
    </row>
    <row r="1681" spans="1:22" ht="15" thickBot="1" x14ac:dyDescent="0.35">
      <c r="A1681" s="90"/>
      <c r="B1681" s="91"/>
      <c r="C1681" s="92"/>
      <c r="D1681" s="93"/>
      <c r="E1681" s="209" t="s">
        <v>11</v>
      </c>
      <c r="F1681" s="210" t="s">
        <v>300</v>
      </c>
      <c r="G1681" s="208"/>
      <c r="H1681" s="203"/>
      <c r="I1681" s="202"/>
      <c r="J1681" s="148"/>
      <c r="K1681" s="203"/>
      <c r="L1681" s="202"/>
      <c r="M1681" s="148"/>
      <c r="N1681" s="204"/>
      <c r="O1681" s="205"/>
      <c r="P1681" s="206"/>
      <c r="Q1681" s="206"/>
      <c r="R1681" s="206"/>
    </row>
    <row r="1682" spans="1:22" ht="15" thickTop="1" x14ac:dyDescent="0.3">
      <c r="A1682" s="211"/>
      <c r="B1682" s="211" t="s">
        <v>167</v>
      </c>
      <c r="C1682" s="212" t="s">
        <v>168</v>
      </c>
      <c r="D1682" s="213">
        <v>18</v>
      </c>
      <c r="E1682" s="234">
        <f>$F$22</f>
        <v>1238.96</v>
      </c>
      <c r="F1682" s="215">
        <f>ROUND(D1682*E1682,2)</f>
        <v>22301.279999999999</v>
      </c>
      <c r="G1682" s="216"/>
      <c r="H1682" s="203"/>
      <c r="I1682" s="202"/>
      <c r="J1682" s="148"/>
      <c r="K1682" s="203"/>
      <c r="L1682" s="202"/>
      <c r="M1682" s="148"/>
      <c r="N1682" s="204"/>
      <c r="O1682" s="205"/>
      <c r="P1682" s="206"/>
      <c r="Q1682" s="206"/>
      <c r="R1682" s="206"/>
    </row>
    <row r="1683" spans="1:22" x14ac:dyDescent="0.3">
      <c r="A1683" s="217"/>
      <c r="B1683" s="217" t="s">
        <v>221</v>
      </c>
      <c r="C1683" s="218" t="s">
        <v>168</v>
      </c>
      <c r="D1683" s="219">
        <v>18</v>
      </c>
      <c r="E1683" s="235">
        <f>$F$39</f>
        <v>386.38</v>
      </c>
      <c r="F1683" s="221">
        <f>ROUND(D1683*E1683,2)</f>
        <v>6954.84</v>
      </c>
      <c r="G1683" s="216"/>
      <c r="H1683" s="203"/>
      <c r="I1683" s="202"/>
      <c r="J1683" s="148"/>
      <c r="K1683" s="203"/>
      <c r="L1683" s="202"/>
      <c r="M1683" s="148"/>
      <c r="N1683" s="204"/>
      <c r="O1683" s="205"/>
      <c r="P1683" s="206"/>
      <c r="Q1683" s="206"/>
      <c r="R1683" s="206"/>
    </row>
    <row r="1684" spans="1:22" x14ac:dyDescent="0.3">
      <c r="A1684" s="228"/>
      <c r="B1684" s="228"/>
      <c r="C1684" s="115"/>
      <c r="D1684" s="229" t="s">
        <v>170</v>
      </c>
      <c r="E1684" s="230"/>
      <c r="F1684" s="231">
        <f>+G1684</f>
        <v>29256.12</v>
      </c>
      <c r="G1684" s="232">
        <f>SUM(F1682:F1683)</f>
        <v>29256.12</v>
      </c>
      <c r="H1684" s="203"/>
      <c r="I1684" s="202"/>
      <c r="J1684" s="148"/>
      <c r="K1684" s="203"/>
      <c r="L1684" s="202"/>
      <c r="M1684" s="148"/>
      <c r="N1684" s="204"/>
      <c r="O1684" s="205"/>
      <c r="P1684" s="206"/>
      <c r="Q1684" s="206"/>
      <c r="R1684" s="206"/>
      <c r="S1684" s="79"/>
    </row>
    <row r="1685" spans="1:22" ht="15" thickBot="1" x14ac:dyDescent="0.35">
      <c r="C1685" s="58"/>
      <c r="E1685" s="148"/>
      <c r="F1685" s="236"/>
      <c r="G1685" s="230"/>
      <c r="H1685" s="203"/>
      <c r="I1685" s="202"/>
      <c r="J1685" s="148"/>
      <c r="K1685" s="203"/>
      <c r="L1685" s="202"/>
      <c r="M1685" s="148"/>
      <c r="N1685" s="204"/>
      <c r="O1685" s="205"/>
      <c r="P1685" s="206"/>
      <c r="Q1685" s="206"/>
      <c r="R1685" s="206"/>
    </row>
    <row r="1686" spans="1:22" ht="15.6" thickTop="1" thickBot="1" x14ac:dyDescent="0.35">
      <c r="B1686" s="56" t="str">
        <f>+B1669</f>
        <v>EMPALME A CAÑERIAS EXISTENTES CON CRUCE DE RUTA</v>
      </c>
      <c r="C1686" s="58" t="str">
        <f>+B1670</f>
        <v>(Gl)</v>
      </c>
      <c r="D1686" s="75" t="s">
        <v>171</v>
      </c>
      <c r="E1686" s="148"/>
      <c r="F1686" s="237">
        <f>+G1686</f>
        <v>29305.43</v>
      </c>
      <c r="G1686" s="237">
        <f>+G1684+G1678</f>
        <v>29305.43</v>
      </c>
      <c r="H1686" s="203"/>
      <c r="I1686" s="202"/>
      <c r="J1686" s="148"/>
      <c r="K1686" s="203"/>
      <c r="L1686" s="202"/>
      <c r="M1686" s="148"/>
      <c r="N1686" s="204"/>
      <c r="O1686" s="205"/>
      <c r="P1686" s="206"/>
      <c r="Q1686" s="206"/>
      <c r="R1686" s="238"/>
      <c r="S1686" s="239"/>
      <c r="T1686" s="240">
        <f>+F1686</f>
        <v>29305.43</v>
      </c>
      <c r="U1686" s="240">
        <f>+I1686</f>
        <v>0</v>
      </c>
      <c r="V1686" s="241">
        <f>+U1686/T1686</f>
        <v>0</v>
      </c>
    </row>
    <row r="1687" spans="1:22" ht="15" thickTop="1" x14ac:dyDescent="0.3">
      <c r="C1687" s="58"/>
      <c r="E1687" s="148"/>
      <c r="F1687" s="202"/>
      <c r="G1687" s="242"/>
      <c r="H1687" s="203"/>
      <c r="I1687" s="202"/>
      <c r="J1687" s="148"/>
      <c r="K1687" s="203"/>
      <c r="L1687" s="202"/>
      <c r="M1687" s="148"/>
      <c r="N1687" s="204"/>
      <c r="O1687" s="205"/>
      <c r="P1687" s="206"/>
      <c r="Q1687" s="206"/>
      <c r="R1687" s="206"/>
    </row>
    <row r="1688" spans="1:22" ht="15.6" x14ac:dyDescent="0.3">
      <c r="A1688" s="56" t="s">
        <v>128</v>
      </c>
      <c r="B1688" s="81" t="s">
        <v>331</v>
      </c>
      <c r="C1688" s="58"/>
      <c r="E1688" s="148"/>
      <c r="F1688" s="202"/>
      <c r="G1688" s="148"/>
      <c r="H1688" s="203"/>
      <c r="I1688" s="202"/>
      <c r="J1688" s="148"/>
      <c r="K1688" s="203"/>
      <c r="L1688" s="202"/>
      <c r="M1688" s="148"/>
      <c r="N1688" s="204"/>
      <c r="O1688" s="205"/>
      <c r="P1688" s="206"/>
      <c r="Q1688" s="206"/>
      <c r="R1688" s="206"/>
    </row>
    <row r="1689" spans="1:22" ht="15.6" x14ac:dyDescent="0.3">
      <c r="A1689" s="56" t="s">
        <v>130</v>
      </c>
      <c r="B1689" s="81" t="s">
        <v>320</v>
      </c>
      <c r="C1689" s="58"/>
      <c r="E1689" s="148"/>
      <c r="F1689" s="202"/>
      <c r="G1689" s="148"/>
      <c r="H1689" s="203"/>
      <c r="I1689" s="202"/>
      <c r="J1689" s="148"/>
      <c r="K1689" s="203"/>
      <c r="L1689" s="202"/>
      <c r="M1689" s="148"/>
      <c r="N1689" s="204"/>
      <c r="O1689" s="205"/>
      <c r="P1689" s="206"/>
      <c r="Q1689" s="206"/>
      <c r="R1689" s="206"/>
    </row>
    <row r="1690" spans="1:22" x14ac:dyDescent="0.3">
      <c r="C1690" s="58"/>
      <c r="E1690" s="148"/>
      <c r="F1690" s="202"/>
      <c r="G1690" s="148"/>
      <c r="H1690" s="203"/>
      <c r="I1690" s="202"/>
      <c r="J1690" s="148"/>
      <c r="K1690" s="203"/>
      <c r="L1690" s="202"/>
      <c r="M1690" s="148"/>
      <c r="N1690" s="204"/>
      <c r="O1690" s="205"/>
      <c r="P1690" s="206"/>
      <c r="Q1690" s="206"/>
      <c r="R1690" s="206"/>
    </row>
    <row r="1691" spans="1:22" ht="15" thickBot="1" x14ac:dyDescent="0.35">
      <c r="A1691" s="56" t="s">
        <v>317</v>
      </c>
      <c r="C1691" s="58"/>
      <c r="E1691" s="148"/>
      <c r="F1691" s="202"/>
      <c r="G1691" s="148"/>
      <c r="H1691" s="203"/>
      <c r="I1691" s="202"/>
      <c r="J1691" s="148"/>
      <c r="K1691" s="203"/>
      <c r="L1691" s="202"/>
      <c r="M1691" s="148"/>
      <c r="N1691" s="204"/>
      <c r="O1691" s="205"/>
      <c r="P1691" s="206"/>
      <c r="Q1691" s="206"/>
      <c r="R1691" s="206"/>
    </row>
    <row r="1692" spans="1:22" ht="15" thickTop="1" x14ac:dyDescent="0.3">
      <c r="A1692" s="84" t="s">
        <v>3</v>
      </c>
      <c r="B1692" s="85" t="s">
        <v>135</v>
      </c>
      <c r="C1692" s="86" t="s">
        <v>5</v>
      </c>
      <c r="D1692" s="87" t="s">
        <v>6</v>
      </c>
      <c r="E1692" s="233" t="s">
        <v>28</v>
      </c>
      <c r="F1692" s="207" t="s">
        <v>28</v>
      </c>
      <c r="G1692" s="208"/>
      <c r="H1692" s="203"/>
      <c r="I1692" s="202"/>
      <c r="J1692" s="148"/>
      <c r="K1692" s="203"/>
      <c r="L1692" s="202"/>
      <c r="M1692" s="148"/>
      <c r="N1692" s="204"/>
      <c r="O1692" s="205"/>
      <c r="P1692" s="206"/>
      <c r="Q1692" s="206"/>
      <c r="R1692" s="206"/>
    </row>
    <row r="1693" spans="1:22" ht="15" thickBot="1" x14ac:dyDescent="0.35">
      <c r="A1693" s="90"/>
      <c r="B1693" s="91"/>
      <c r="C1693" s="92"/>
      <c r="D1693" s="93"/>
      <c r="E1693" s="209" t="s">
        <v>11</v>
      </c>
      <c r="F1693" s="210" t="s">
        <v>300</v>
      </c>
      <c r="G1693" s="208"/>
      <c r="H1693" s="203"/>
      <c r="I1693" s="202"/>
      <c r="J1693" s="148"/>
      <c r="K1693" s="203"/>
      <c r="L1693" s="202"/>
      <c r="M1693" s="148"/>
      <c r="N1693" s="204"/>
      <c r="O1693" s="205"/>
      <c r="P1693" s="206"/>
      <c r="Q1693" s="206"/>
      <c r="R1693" s="206"/>
    </row>
    <row r="1694" spans="1:22" ht="15" thickTop="1" x14ac:dyDescent="0.3">
      <c r="A1694" s="211"/>
      <c r="B1694" s="211" t="s">
        <v>332</v>
      </c>
      <c r="C1694" s="212" t="s">
        <v>289</v>
      </c>
      <c r="D1694" s="213">
        <v>1</v>
      </c>
      <c r="E1694" s="243">
        <v>147</v>
      </c>
      <c r="F1694" s="215">
        <f>+D1694*E1694</f>
        <v>147</v>
      </c>
      <c r="G1694" s="216"/>
      <c r="H1694" s="203"/>
      <c r="I1694" s="202"/>
      <c r="J1694" s="148"/>
      <c r="K1694" s="203"/>
      <c r="L1694" s="202"/>
      <c r="M1694" s="148"/>
      <c r="N1694" s="204"/>
      <c r="O1694" s="205"/>
      <c r="P1694" s="206"/>
      <c r="Q1694" s="206"/>
      <c r="R1694" s="206"/>
    </row>
    <row r="1695" spans="1:22" x14ac:dyDescent="0.3">
      <c r="A1695" s="217"/>
      <c r="B1695" s="217" t="s">
        <v>333</v>
      </c>
      <c r="C1695" s="218" t="s">
        <v>69</v>
      </c>
      <c r="D1695" s="219">
        <v>20</v>
      </c>
      <c r="E1695" s="216">
        <v>1.75</v>
      </c>
      <c r="F1695" s="223">
        <f>+D1695*E1695</f>
        <v>35</v>
      </c>
      <c r="G1695" s="224"/>
      <c r="H1695" s="203"/>
      <c r="I1695" s="202"/>
      <c r="J1695" s="148"/>
      <c r="K1695" s="203"/>
      <c r="L1695" s="202"/>
      <c r="M1695" s="148"/>
      <c r="N1695" s="204"/>
      <c r="O1695" s="205"/>
      <c r="P1695" s="206"/>
      <c r="Q1695" s="206"/>
      <c r="R1695" s="206"/>
    </row>
    <row r="1696" spans="1:22" x14ac:dyDescent="0.3">
      <c r="A1696" s="228"/>
      <c r="B1696" s="228"/>
      <c r="C1696" s="115"/>
      <c r="D1696" s="229" t="s">
        <v>165</v>
      </c>
      <c r="E1696" s="230"/>
      <c r="F1696" s="231">
        <f>+G1696</f>
        <v>182</v>
      </c>
      <c r="G1696" s="232">
        <f>SUM(F1694:F1695)</f>
        <v>182</v>
      </c>
      <c r="H1696" s="203"/>
      <c r="I1696" s="202"/>
      <c r="J1696" s="148"/>
      <c r="K1696" s="203"/>
      <c r="L1696" s="202"/>
      <c r="M1696" s="148"/>
      <c r="N1696" s="204"/>
      <c r="O1696" s="205"/>
      <c r="P1696" s="206"/>
      <c r="Q1696" s="206"/>
      <c r="R1696" s="206"/>
      <c r="S1696" s="79"/>
    </row>
    <row r="1697" spans="1:22" ht="15" thickBot="1" x14ac:dyDescent="0.35">
      <c r="A1697" s="56" t="s">
        <v>166</v>
      </c>
      <c r="C1697" s="58"/>
      <c r="E1697" s="148"/>
      <c r="F1697" s="202"/>
      <c r="G1697" s="230"/>
      <c r="H1697" s="203"/>
      <c r="I1697" s="202"/>
      <c r="J1697" s="148"/>
      <c r="K1697" s="203"/>
      <c r="L1697" s="202"/>
      <c r="M1697" s="148"/>
      <c r="N1697" s="204"/>
      <c r="O1697" s="205"/>
      <c r="P1697" s="206"/>
      <c r="Q1697" s="206"/>
      <c r="R1697" s="206"/>
    </row>
    <row r="1698" spans="1:22" ht="15" thickTop="1" x14ac:dyDescent="0.3">
      <c r="A1698" s="84" t="s">
        <v>3</v>
      </c>
      <c r="B1698" s="85" t="s">
        <v>135</v>
      </c>
      <c r="C1698" s="86" t="s">
        <v>5</v>
      </c>
      <c r="D1698" s="87" t="s">
        <v>6</v>
      </c>
      <c r="E1698" s="233" t="s">
        <v>28</v>
      </c>
      <c r="F1698" s="207" t="s">
        <v>28</v>
      </c>
      <c r="G1698" s="208"/>
      <c r="H1698" s="203"/>
      <c r="I1698" s="202"/>
      <c r="J1698" s="148"/>
      <c r="K1698" s="203"/>
      <c r="L1698" s="202"/>
      <c r="M1698" s="148"/>
      <c r="N1698" s="204"/>
      <c r="O1698" s="205"/>
      <c r="P1698" s="206"/>
      <c r="Q1698" s="206"/>
      <c r="R1698" s="206"/>
    </row>
    <row r="1699" spans="1:22" ht="15" thickBot="1" x14ac:dyDescent="0.35">
      <c r="A1699" s="90"/>
      <c r="B1699" s="91"/>
      <c r="C1699" s="92"/>
      <c r="D1699" s="93"/>
      <c r="E1699" s="209" t="s">
        <v>11</v>
      </c>
      <c r="F1699" s="210" t="s">
        <v>300</v>
      </c>
      <c r="G1699" s="208"/>
      <c r="H1699" s="203"/>
      <c r="I1699" s="202"/>
      <c r="J1699" s="148"/>
      <c r="K1699" s="203"/>
      <c r="L1699" s="202"/>
      <c r="M1699" s="148"/>
      <c r="N1699" s="204"/>
      <c r="O1699" s="205"/>
      <c r="P1699" s="206"/>
      <c r="Q1699" s="206"/>
      <c r="R1699" s="206"/>
    </row>
    <row r="1700" spans="1:22" ht="15" thickTop="1" x14ac:dyDescent="0.3">
      <c r="A1700" s="211"/>
      <c r="B1700" s="211" t="s">
        <v>167</v>
      </c>
      <c r="C1700" s="212" t="s">
        <v>168</v>
      </c>
      <c r="D1700" s="213">
        <v>6</v>
      </c>
      <c r="E1700" s="234">
        <f>$F$22</f>
        <v>1238.96</v>
      </c>
      <c r="F1700" s="215">
        <f>ROUND(D1700*E1700,2)</f>
        <v>7433.76</v>
      </c>
      <c r="G1700" s="216"/>
      <c r="H1700" s="203"/>
      <c r="I1700" s="202"/>
      <c r="J1700" s="148"/>
      <c r="K1700" s="203"/>
      <c r="L1700" s="202"/>
      <c r="M1700" s="148"/>
      <c r="N1700" s="204"/>
      <c r="O1700" s="205"/>
      <c r="P1700" s="206"/>
      <c r="Q1700" s="206"/>
      <c r="R1700" s="206"/>
    </row>
    <row r="1701" spans="1:22" x14ac:dyDescent="0.3">
      <c r="A1701" s="217"/>
      <c r="B1701" s="217" t="s">
        <v>221</v>
      </c>
      <c r="C1701" s="218" t="s">
        <v>168</v>
      </c>
      <c r="D1701" s="219">
        <v>18</v>
      </c>
      <c r="E1701" s="235">
        <f>$F$39</f>
        <v>386.38</v>
      </c>
      <c r="F1701" s="221">
        <f>ROUND(D1701*E1701,2)</f>
        <v>6954.84</v>
      </c>
      <c r="G1701" s="216"/>
      <c r="H1701" s="203"/>
      <c r="I1701" s="202"/>
      <c r="J1701" s="148"/>
      <c r="K1701" s="203"/>
      <c r="L1701" s="202"/>
      <c r="M1701" s="148"/>
      <c r="N1701" s="204"/>
      <c r="O1701" s="205"/>
      <c r="P1701" s="206"/>
      <c r="Q1701" s="206"/>
      <c r="R1701" s="206"/>
    </row>
    <row r="1702" spans="1:22" x14ac:dyDescent="0.3">
      <c r="A1702" s="228"/>
      <c r="B1702" s="228"/>
      <c r="C1702" s="115"/>
      <c r="D1702" s="229" t="s">
        <v>170</v>
      </c>
      <c r="E1702" s="230"/>
      <c r="F1702" s="231">
        <f>+G1702</f>
        <v>14388.6</v>
      </c>
      <c r="G1702" s="232">
        <f>SUM(F1700:F1701)</f>
        <v>14388.6</v>
      </c>
      <c r="H1702" s="203"/>
      <c r="I1702" s="202"/>
      <c r="J1702" s="148"/>
      <c r="K1702" s="203"/>
      <c r="L1702" s="202"/>
      <c r="M1702" s="148"/>
      <c r="N1702" s="204"/>
      <c r="O1702" s="205"/>
      <c r="P1702" s="206"/>
      <c r="Q1702" s="206"/>
      <c r="R1702" s="206"/>
      <c r="S1702" s="79"/>
    </row>
    <row r="1703" spans="1:22" ht="15" thickBot="1" x14ac:dyDescent="0.35">
      <c r="C1703" s="58"/>
      <c r="E1703" s="148"/>
      <c r="F1703" s="236"/>
      <c r="G1703" s="230"/>
      <c r="H1703" s="203"/>
      <c r="I1703" s="202"/>
      <c r="J1703" s="148"/>
      <c r="K1703" s="203"/>
      <c r="L1703" s="202"/>
      <c r="M1703" s="148"/>
      <c r="N1703" s="204"/>
      <c r="O1703" s="205"/>
      <c r="P1703" s="206"/>
      <c r="Q1703" s="206"/>
      <c r="R1703" s="206"/>
    </row>
    <row r="1704" spans="1:22" ht="15.6" thickTop="1" thickBot="1" x14ac:dyDescent="0.35">
      <c r="B1704" s="56" t="str">
        <f>+B1688</f>
        <v>CONEXIONES A RED DE AGUA INC. CRUCE DE CALLE Y MEDIDOR</v>
      </c>
      <c r="C1704" s="58" t="str">
        <f>+B1689</f>
        <v>(Un)</v>
      </c>
      <c r="D1704" s="75" t="s">
        <v>171</v>
      </c>
      <c r="E1704" s="148"/>
      <c r="F1704" s="237">
        <f>+G1704</f>
        <v>14570.6</v>
      </c>
      <c r="G1704" s="237">
        <f>+G1702+G1696</f>
        <v>14570.6</v>
      </c>
      <c r="H1704" s="203"/>
      <c r="I1704" s="202"/>
      <c r="J1704" s="148"/>
      <c r="K1704" s="203"/>
      <c r="L1704" s="202"/>
      <c r="M1704" s="148"/>
      <c r="N1704" s="204"/>
      <c r="O1704" s="205"/>
      <c r="P1704" s="206"/>
      <c r="Q1704" s="206"/>
      <c r="R1704" s="238"/>
      <c r="S1704" s="239"/>
      <c r="T1704" s="240">
        <f>+F1704</f>
        <v>14570.6</v>
      </c>
      <c r="U1704" s="240">
        <f>+I1704</f>
        <v>0</v>
      </c>
      <c r="V1704" s="241">
        <f>+U1704/T1704</f>
        <v>0</v>
      </c>
    </row>
    <row r="1705" spans="1:22" ht="15" thickTop="1" x14ac:dyDescent="0.3">
      <c r="C1705" s="58"/>
      <c r="E1705" s="148"/>
      <c r="F1705" s="202"/>
      <c r="G1705" s="242"/>
      <c r="H1705" s="203"/>
      <c r="I1705" s="202"/>
      <c r="J1705" s="148"/>
      <c r="K1705" s="203"/>
      <c r="L1705" s="202"/>
      <c r="M1705" s="148"/>
      <c r="N1705" s="204"/>
      <c r="O1705" s="205"/>
      <c r="P1705" s="206"/>
      <c r="Q1705" s="206"/>
      <c r="R1705" s="206"/>
    </row>
    <row r="1706" spans="1:22" s="61" customFormat="1" ht="15.6" x14ac:dyDescent="0.3">
      <c r="A1706" s="61" t="s">
        <v>128</v>
      </c>
      <c r="B1706" s="60" t="s">
        <v>334</v>
      </c>
      <c r="C1706" s="150"/>
      <c r="D1706" s="151"/>
      <c r="E1706" s="152"/>
      <c r="F1706" s="152"/>
      <c r="G1706" s="152"/>
      <c r="K1706" s="153"/>
      <c r="L1706" s="101"/>
    </row>
    <row r="1707" spans="1:22" s="61" customFormat="1" ht="15.6" x14ac:dyDescent="0.3">
      <c r="A1707" s="61" t="s">
        <v>130</v>
      </c>
      <c r="B1707" s="60" t="s">
        <v>204</v>
      </c>
      <c r="C1707" s="150"/>
      <c r="D1707" s="151"/>
      <c r="E1707" s="152"/>
      <c r="F1707" s="152"/>
      <c r="G1707" s="152"/>
      <c r="K1707" s="153"/>
      <c r="L1707" s="101"/>
    </row>
    <row r="1708" spans="1:22" s="61" customFormat="1" ht="13.2" x14ac:dyDescent="0.25">
      <c r="C1708" s="150"/>
      <c r="D1708" s="151"/>
      <c r="E1708" s="152"/>
      <c r="F1708" s="152"/>
      <c r="G1708" s="152"/>
      <c r="K1708" s="153"/>
      <c r="L1708" s="101"/>
    </row>
    <row r="1709" spans="1:22" s="61" customFormat="1" ht="13.8" thickBot="1" x14ac:dyDescent="0.3">
      <c r="A1709" s="61" t="s">
        <v>161</v>
      </c>
      <c r="C1709" s="150"/>
      <c r="D1709" s="151"/>
      <c r="E1709" s="152"/>
      <c r="F1709" s="152"/>
      <c r="G1709" s="152"/>
      <c r="K1709" s="153"/>
      <c r="L1709" s="101"/>
    </row>
    <row r="1710" spans="1:22" s="61" customFormat="1" ht="13.8" thickTop="1" x14ac:dyDescent="0.25">
      <c r="A1710" s="154" t="s">
        <v>3</v>
      </c>
      <c r="B1710" s="155" t="s">
        <v>135</v>
      </c>
      <c r="C1710" s="156" t="s">
        <v>5</v>
      </c>
      <c r="D1710" s="157" t="s">
        <v>6</v>
      </c>
      <c r="E1710" s="158" t="s">
        <v>28</v>
      </c>
      <c r="F1710" s="158" t="s">
        <v>28</v>
      </c>
      <c r="G1710" s="159"/>
      <c r="K1710" s="153"/>
      <c r="L1710" s="101"/>
    </row>
    <row r="1711" spans="1:22" s="61" customFormat="1" ht="13.8" thickBot="1" x14ac:dyDescent="0.3">
      <c r="A1711" s="160"/>
      <c r="B1711" s="161"/>
      <c r="C1711" s="162"/>
      <c r="D1711" s="163"/>
      <c r="E1711" s="164" t="s">
        <v>11</v>
      </c>
      <c r="F1711" s="164" t="s">
        <v>10</v>
      </c>
      <c r="G1711" s="159"/>
      <c r="K1711" s="153"/>
      <c r="L1711" s="101"/>
    </row>
    <row r="1712" spans="1:22" s="61" customFormat="1" ht="13.8" thickTop="1" x14ac:dyDescent="0.25">
      <c r="A1712" s="165"/>
      <c r="B1712" s="166" t="s">
        <v>247</v>
      </c>
      <c r="C1712" s="167" t="s">
        <v>35</v>
      </c>
      <c r="D1712" s="168">
        <v>0.05</v>
      </c>
      <c r="E1712" s="169">
        <f>+$G$203</f>
        <v>1545.52</v>
      </c>
      <c r="F1712" s="169">
        <f>ROUND(D1712*E1712,2)</f>
        <v>77.28</v>
      </c>
      <c r="G1712" s="170"/>
      <c r="K1712" s="153"/>
      <c r="L1712" s="101"/>
    </row>
    <row r="1713" spans="1:17" s="61" customFormat="1" ht="13.2" x14ac:dyDescent="0.25">
      <c r="A1713" s="171"/>
      <c r="B1713" s="172" t="s">
        <v>287</v>
      </c>
      <c r="C1713" s="173" t="s">
        <v>41</v>
      </c>
      <c r="D1713" s="174">
        <v>0.3</v>
      </c>
      <c r="E1713" s="170">
        <f>+$G$749</f>
        <v>1322.26</v>
      </c>
      <c r="F1713" s="170">
        <f>ROUND(D1713*E1713,2)</f>
        <v>396.68</v>
      </c>
      <c r="G1713" s="171"/>
      <c r="K1713" s="153"/>
      <c r="L1713" s="101"/>
    </row>
    <row r="1714" spans="1:17" s="61" customFormat="1" ht="13.2" x14ac:dyDescent="0.25">
      <c r="A1714" s="171"/>
      <c r="B1714" s="172" t="s">
        <v>262</v>
      </c>
      <c r="C1714" s="173" t="s">
        <v>41</v>
      </c>
      <c r="D1714" s="174">
        <v>0.5</v>
      </c>
      <c r="E1714" s="170">
        <f>+$G$903</f>
        <v>1974.8</v>
      </c>
      <c r="F1714" s="170">
        <f>ROUND(D1714*E1714,2)</f>
        <v>987.4</v>
      </c>
      <c r="G1714" s="171"/>
      <c r="K1714" s="153"/>
      <c r="L1714" s="101"/>
    </row>
    <row r="1715" spans="1:17" s="61" customFormat="1" ht="13.2" x14ac:dyDescent="0.25">
      <c r="A1715" s="171"/>
      <c r="B1715" s="194" t="s">
        <v>335</v>
      </c>
      <c r="C1715" s="173" t="s">
        <v>289</v>
      </c>
      <c r="D1715" s="174">
        <v>0.1</v>
      </c>
      <c r="E1715" s="170">
        <v>6</v>
      </c>
      <c r="F1715" s="170">
        <f>ROUND(D1715*E1715,2)</f>
        <v>0.6</v>
      </c>
      <c r="G1715" s="171"/>
      <c r="K1715" s="153"/>
      <c r="L1715" s="101"/>
    </row>
    <row r="1716" spans="1:17" s="61" customFormat="1" ht="13.2" x14ac:dyDescent="0.25">
      <c r="A1716" s="175"/>
      <c r="B1716" s="175"/>
      <c r="C1716" s="176"/>
      <c r="D1716" s="177" t="s">
        <v>165</v>
      </c>
      <c r="E1716" s="178"/>
      <c r="F1716" s="179"/>
      <c r="G1716" s="180">
        <f>SUM(F1712:F1715)</f>
        <v>1461.96</v>
      </c>
      <c r="H1716" s="161"/>
      <c r="K1716" s="153"/>
      <c r="L1716" s="101"/>
    </row>
    <row r="1717" spans="1:17" s="61" customFormat="1" ht="13.8" thickBot="1" x14ac:dyDescent="0.3">
      <c r="A1717" s="61" t="s">
        <v>166</v>
      </c>
      <c r="C1717" s="150"/>
      <c r="D1717" s="151"/>
      <c r="E1717" s="152"/>
      <c r="F1717" s="152"/>
      <c r="G1717" s="178"/>
      <c r="K1717" s="153"/>
      <c r="L1717" s="101"/>
    </row>
    <row r="1718" spans="1:17" s="61" customFormat="1" ht="13.8" thickTop="1" x14ac:dyDescent="0.25">
      <c r="A1718" s="154" t="s">
        <v>3</v>
      </c>
      <c r="B1718" s="155" t="s">
        <v>135</v>
      </c>
      <c r="C1718" s="156" t="s">
        <v>5</v>
      </c>
      <c r="D1718" s="157" t="s">
        <v>6</v>
      </c>
      <c r="E1718" s="158" t="s">
        <v>28</v>
      </c>
      <c r="F1718" s="195" t="s">
        <v>28</v>
      </c>
      <c r="G1718" s="159"/>
      <c r="K1718" s="153"/>
      <c r="L1718" s="101"/>
    </row>
    <row r="1719" spans="1:17" s="61" customFormat="1" ht="13.8" thickBot="1" x14ac:dyDescent="0.3">
      <c r="A1719" s="196"/>
      <c r="B1719" s="197"/>
      <c r="C1719" s="198"/>
      <c r="D1719" s="199"/>
      <c r="E1719" s="200" t="s">
        <v>11</v>
      </c>
      <c r="F1719" s="201" t="s">
        <v>10</v>
      </c>
      <c r="G1719" s="159"/>
      <c r="K1719" s="153"/>
      <c r="L1719" s="101"/>
    </row>
    <row r="1720" spans="1:17" s="61" customFormat="1" ht="13.8" thickTop="1" x14ac:dyDescent="0.25">
      <c r="A1720" s="171"/>
      <c r="B1720" s="171" t="s">
        <v>167</v>
      </c>
      <c r="C1720" s="173" t="s">
        <v>168</v>
      </c>
      <c r="D1720" s="174">
        <v>0.25</v>
      </c>
      <c r="E1720" s="170">
        <f>$F$22</f>
        <v>1238.96</v>
      </c>
      <c r="F1720" s="170">
        <f>ROUND(D1720*E1720,2)</f>
        <v>309.74</v>
      </c>
      <c r="G1720" s="170"/>
      <c r="K1720" s="153"/>
      <c r="L1720" s="101"/>
    </row>
    <row r="1721" spans="1:17" s="61" customFormat="1" ht="13.2" x14ac:dyDescent="0.25">
      <c r="A1721" s="171"/>
      <c r="B1721" s="171" t="s">
        <v>221</v>
      </c>
      <c r="C1721" s="173" t="s">
        <v>168</v>
      </c>
      <c r="D1721" s="174">
        <v>0.1</v>
      </c>
      <c r="E1721" s="170">
        <f>$F$39</f>
        <v>386.38</v>
      </c>
      <c r="F1721" s="170">
        <f>ROUND(D1721*E1721,2)</f>
        <v>38.64</v>
      </c>
      <c r="G1721" s="170"/>
      <c r="K1721" s="153"/>
      <c r="L1721" s="101"/>
    </row>
    <row r="1722" spans="1:17" s="61" customFormat="1" ht="13.2" x14ac:dyDescent="0.25">
      <c r="A1722" s="175"/>
      <c r="B1722" s="175"/>
      <c r="C1722" s="176"/>
      <c r="D1722" s="177" t="s">
        <v>170</v>
      </c>
      <c r="E1722" s="178"/>
      <c r="F1722" s="179"/>
      <c r="G1722" s="180">
        <f>SUM(F1720:F1721)</f>
        <v>348.38</v>
      </c>
      <c r="H1722" s="161"/>
      <c r="K1722" s="153"/>
      <c r="L1722" s="101"/>
    </row>
    <row r="1723" spans="1:17" s="61" customFormat="1" ht="13.8" thickBot="1" x14ac:dyDescent="0.3">
      <c r="C1723" s="150"/>
      <c r="D1723" s="151"/>
      <c r="E1723" s="152"/>
      <c r="F1723" s="152"/>
      <c r="G1723" s="178"/>
      <c r="K1723" s="153"/>
      <c r="L1723" s="101"/>
    </row>
    <row r="1724" spans="1:17" s="61" customFormat="1" thickTop="1" thickBot="1" x14ac:dyDescent="0.3">
      <c r="C1724" s="150"/>
      <c r="D1724" s="151" t="s">
        <v>171</v>
      </c>
      <c r="E1724" s="152"/>
      <c r="F1724" s="152"/>
      <c r="G1724" s="183">
        <f>SUM(G1716:G1722)</f>
        <v>1810.3400000000001</v>
      </c>
      <c r="H1724" s="184"/>
      <c r="K1724" s="153"/>
      <c r="L1724" s="101"/>
    </row>
    <row r="1725" spans="1:17" ht="15" thickTop="1" x14ac:dyDescent="0.3">
      <c r="C1725" s="185"/>
      <c r="D1725" s="186"/>
      <c r="E1725" s="187"/>
      <c r="F1725" s="187"/>
      <c r="G1725" s="188"/>
    </row>
    <row r="1726" spans="1:17" x14ac:dyDescent="0.3">
      <c r="H1726" s="203"/>
      <c r="I1726" s="202"/>
      <c r="J1726" s="148"/>
      <c r="K1726" s="203"/>
      <c r="L1726" s="202"/>
      <c r="M1726" s="148"/>
      <c r="N1726" s="204"/>
      <c r="O1726" s="205"/>
      <c r="P1726" s="206"/>
      <c r="Q1726" s="206"/>
    </row>
    <row r="1727" spans="1:17" ht="15.6" x14ac:dyDescent="0.3">
      <c r="A1727" s="79" t="s">
        <v>128</v>
      </c>
      <c r="B1727" s="81" t="s">
        <v>336</v>
      </c>
      <c r="C1727" s="80"/>
      <c r="D1727" s="125"/>
      <c r="E1727" s="78"/>
      <c r="F1727" s="78"/>
      <c r="G1727" s="78"/>
    </row>
    <row r="1728" spans="1:17" ht="15.6" x14ac:dyDescent="0.3">
      <c r="A1728" s="79" t="s">
        <v>130</v>
      </c>
      <c r="B1728" s="81" t="s">
        <v>202</v>
      </c>
      <c r="C1728" s="80"/>
      <c r="D1728" s="125"/>
      <c r="E1728" s="78"/>
      <c r="F1728" s="78"/>
      <c r="G1728" s="78"/>
    </row>
    <row r="1729" spans="1:13" x14ac:dyDescent="0.3">
      <c r="C1729" s="80"/>
      <c r="D1729" s="125"/>
      <c r="E1729" s="78"/>
      <c r="F1729" s="78"/>
      <c r="G1729" s="78"/>
    </row>
    <row r="1730" spans="1:13" ht="15" thickBot="1" x14ac:dyDescent="0.35">
      <c r="A1730" s="79" t="s">
        <v>161</v>
      </c>
      <c r="C1730" s="80"/>
      <c r="D1730" s="125"/>
      <c r="E1730" s="78"/>
      <c r="F1730" s="78"/>
      <c r="G1730" s="78"/>
    </row>
    <row r="1731" spans="1:13" ht="15" thickTop="1" x14ac:dyDescent="0.3">
      <c r="A1731" s="84" t="s">
        <v>3</v>
      </c>
      <c r="B1731" s="85" t="s">
        <v>135</v>
      </c>
      <c r="C1731" s="86" t="s">
        <v>5</v>
      </c>
      <c r="D1731" s="87" t="s">
        <v>6</v>
      </c>
      <c r="E1731" s="88" t="s">
        <v>28</v>
      </c>
      <c r="F1731" s="88" t="s">
        <v>28</v>
      </c>
      <c r="G1731" s="89"/>
    </row>
    <row r="1732" spans="1:13" ht="15" thickBot="1" x14ac:dyDescent="0.35">
      <c r="A1732" s="90"/>
      <c r="B1732" s="91"/>
      <c r="C1732" s="92"/>
      <c r="D1732" s="93"/>
      <c r="E1732" s="94" t="s">
        <v>11</v>
      </c>
      <c r="F1732" s="94" t="s">
        <v>10</v>
      </c>
      <c r="G1732" s="89"/>
    </row>
    <row r="1733" spans="1:13" ht="15" thickTop="1" x14ac:dyDescent="0.3">
      <c r="A1733" s="95"/>
      <c r="B1733" s="95"/>
      <c r="C1733" s="126"/>
      <c r="D1733" s="127"/>
      <c r="E1733" s="134"/>
      <c r="F1733" s="134"/>
      <c r="G1733" s="100"/>
    </row>
    <row r="1734" spans="1:13" x14ac:dyDescent="0.3">
      <c r="A1734" s="102"/>
      <c r="B1734" s="102"/>
      <c r="C1734" s="108"/>
      <c r="D1734" s="109"/>
      <c r="E1734" s="100"/>
      <c r="F1734" s="100"/>
      <c r="G1734" s="100"/>
    </row>
    <row r="1735" spans="1:13" x14ac:dyDescent="0.3">
      <c r="A1735" s="114"/>
      <c r="B1735" s="114"/>
      <c r="C1735" s="115"/>
      <c r="D1735" s="116" t="s">
        <v>165</v>
      </c>
      <c r="E1735" s="117"/>
      <c r="F1735" s="132"/>
      <c r="G1735" s="113">
        <f>SUM(F1733:F1734)</f>
        <v>0</v>
      </c>
      <c r="H1735" s="91"/>
    </row>
    <row r="1736" spans="1:13" x14ac:dyDescent="0.3">
      <c r="C1736" s="80"/>
      <c r="D1736" s="125"/>
      <c r="E1736" s="78"/>
      <c r="F1736" s="78"/>
      <c r="G1736" s="117"/>
    </row>
    <row r="1737" spans="1:13" ht="15" thickBot="1" x14ac:dyDescent="0.35">
      <c r="A1737" s="79" t="s">
        <v>166</v>
      </c>
      <c r="C1737" s="80"/>
      <c r="D1737" s="125"/>
      <c r="E1737" s="78"/>
      <c r="F1737" s="78"/>
      <c r="G1737" s="78"/>
    </row>
    <row r="1738" spans="1:13" ht="15" thickTop="1" x14ac:dyDescent="0.3">
      <c r="A1738" s="84" t="s">
        <v>3</v>
      </c>
      <c r="B1738" s="85" t="s">
        <v>135</v>
      </c>
      <c r="C1738" s="86" t="s">
        <v>5</v>
      </c>
      <c r="D1738" s="87" t="s">
        <v>6</v>
      </c>
      <c r="E1738" s="88" t="s">
        <v>28</v>
      </c>
      <c r="F1738" s="88" t="s">
        <v>28</v>
      </c>
      <c r="G1738" s="89"/>
    </row>
    <row r="1739" spans="1:13" ht="15" thickBot="1" x14ac:dyDescent="0.35">
      <c r="A1739" s="90"/>
      <c r="B1739" s="91"/>
      <c r="C1739" s="92"/>
      <c r="D1739" s="93"/>
      <c r="E1739" s="94" t="s">
        <v>11</v>
      </c>
      <c r="F1739" s="94" t="s">
        <v>10</v>
      </c>
      <c r="G1739" s="89"/>
    </row>
    <row r="1740" spans="1:13" ht="15" thickTop="1" x14ac:dyDescent="0.3">
      <c r="A1740" s="95"/>
      <c r="B1740" s="95" t="s">
        <v>167</v>
      </c>
      <c r="C1740" s="126" t="s">
        <v>168</v>
      </c>
      <c r="D1740" s="127">
        <v>0</v>
      </c>
      <c r="E1740" s="134">
        <f>$F$22</f>
        <v>1238.96</v>
      </c>
      <c r="F1740" s="134">
        <f>ROUND(D1740*E1740,2)</f>
        <v>0</v>
      </c>
      <c r="G1740" s="100"/>
    </row>
    <row r="1741" spans="1:13" x14ac:dyDescent="0.3">
      <c r="A1741" s="102"/>
      <c r="B1741" s="102" t="s">
        <v>169</v>
      </c>
      <c r="C1741" s="108" t="s">
        <v>168</v>
      </c>
      <c r="D1741" s="109">
        <v>2</v>
      </c>
      <c r="E1741" s="100">
        <f>$F$39</f>
        <v>386.38</v>
      </c>
      <c r="F1741" s="100">
        <f>ROUND(D1741*E1741,2)</f>
        <v>772.76</v>
      </c>
      <c r="G1741" s="100"/>
    </row>
    <row r="1742" spans="1:13" x14ac:dyDescent="0.3">
      <c r="A1742" s="114"/>
      <c r="B1742" s="114"/>
      <c r="C1742" s="115"/>
      <c r="D1742" s="116" t="s">
        <v>170</v>
      </c>
      <c r="E1742" s="117"/>
      <c r="F1742" s="132"/>
      <c r="G1742" s="113">
        <f>SUM(F1740:F1741)</f>
        <v>772.76</v>
      </c>
      <c r="H1742" s="91"/>
    </row>
    <row r="1743" spans="1:13" x14ac:dyDescent="0.3">
      <c r="C1743" s="80"/>
      <c r="D1743" s="125"/>
      <c r="E1743" s="78"/>
      <c r="F1743" s="78"/>
      <c r="G1743" s="117"/>
    </row>
    <row r="1744" spans="1:13" ht="15" thickBot="1" x14ac:dyDescent="0.35">
      <c r="A1744" s="79" t="s">
        <v>187</v>
      </c>
      <c r="C1744" s="80"/>
      <c r="D1744" s="125"/>
      <c r="E1744" s="78"/>
      <c r="F1744" s="78"/>
      <c r="G1744" s="78"/>
      <c r="M1744" s="77"/>
    </row>
    <row r="1745" spans="1:14" ht="15" thickTop="1" x14ac:dyDescent="0.3">
      <c r="A1745" s="84" t="s">
        <v>3</v>
      </c>
      <c r="B1745" s="85" t="s">
        <v>135</v>
      </c>
      <c r="C1745" s="86" t="s">
        <v>5</v>
      </c>
      <c r="D1745" s="87" t="s">
        <v>6</v>
      </c>
      <c r="E1745" s="88" t="s">
        <v>28</v>
      </c>
      <c r="F1745" s="88" t="s">
        <v>28</v>
      </c>
      <c r="G1745" s="89"/>
      <c r="M1745" s="77"/>
    </row>
    <row r="1746" spans="1:14" ht="15" thickBot="1" x14ac:dyDescent="0.35">
      <c r="A1746" s="90"/>
      <c r="B1746" s="91"/>
      <c r="C1746" s="92"/>
      <c r="D1746" s="93"/>
      <c r="E1746" s="94" t="s">
        <v>11</v>
      </c>
      <c r="F1746" s="94" t="s">
        <v>10</v>
      </c>
      <c r="G1746" s="89"/>
      <c r="M1746" s="77"/>
    </row>
    <row r="1747" spans="1:14" ht="15" thickTop="1" x14ac:dyDescent="0.3">
      <c r="A1747" s="95"/>
      <c r="B1747" s="95" t="s">
        <v>162</v>
      </c>
      <c r="C1747" s="126" t="s">
        <v>163</v>
      </c>
      <c r="D1747" s="127"/>
      <c r="E1747" s="128">
        <v>40</v>
      </c>
      <c r="F1747" s="129">
        <f>ROUND(D1747*E1747,2)</f>
        <v>0</v>
      </c>
      <c r="G1747" s="100"/>
      <c r="M1747" s="77"/>
    </row>
    <row r="1748" spans="1:14" x14ac:dyDescent="0.3">
      <c r="A1748" s="102"/>
      <c r="B1748" s="102" t="s">
        <v>164</v>
      </c>
      <c r="C1748" s="108" t="s">
        <v>163</v>
      </c>
      <c r="D1748" s="109">
        <v>0.05</v>
      </c>
      <c r="E1748" s="130">
        <v>80</v>
      </c>
      <c r="F1748" s="131">
        <f>ROUND(D1748*E1748,2)</f>
        <v>4</v>
      </c>
      <c r="G1748" s="100"/>
      <c r="M1748" s="77"/>
    </row>
    <row r="1749" spans="1:14" ht="13.2" x14ac:dyDescent="0.25">
      <c r="A1749" s="102"/>
      <c r="B1749" s="102"/>
      <c r="C1749" s="108"/>
      <c r="D1749" s="109"/>
      <c r="E1749" s="130"/>
      <c r="F1749" s="130"/>
      <c r="G1749" s="100"/>
      <c r="J1749" s="119"/>
      <c r="K1749" s="120"/>
      <c r="L1749" s="121"/>
      <c r="M1749" s="121"/>
    </row>
    <row r="1750" spans="1:14" ht="15" thickBot="1" x14ac:dyDescent="0.35">
      <c r="A1750" s="114"/>
      <c r="B1750" s="114"/>
      <c r="C1750" s="115"/>
      <c r="D1750" s="116" t="s">
        <v>165</v>
      </c>
      <c r="E1750" s="117"/>
      <c r="F1750" s="132"/>
      <c r="G1750" s="113">
        <f>SUM(F1747:F1749)</f>
        <v>4</v>
      </c>
      <c r="H1750" s="91"/>
      <c r="J1750" s="61"/>
      <c r="L1750" s="122"/>
      <c r="M1750" s="77"/>
      <c r="N1750" s="133"/>
    </row>
    <row r="1751" spans="1:14" ht="15" thickBot="1" x14ac:dyDescent="0.35">
      <c r="C1751" s="80"/>
      <c r="D1751" s="125"/>
      <c r="E1751" s="78"/>
      <c r="F1751" s="78"/>
      <c r="G1751" s="117"/>
      <c r="M1751" s="123"/>
      <c r="N1751" s="124"/>
    </row>
    <row r="1752" spans="1:14" ht="15.6" thickTop="1" thickBot="1" x14ac:dyDescent="0.35">
      <c r="C1752" s="80"/>
      <c r="D1752" s="125" t="s">
        <v>171</v>
      </c>
      <c r="E1752" s="78"/>
      <c r="F1752" s="78"/>
      <c r="G1752" s="135">
        <f>+G1735+G1742+G1750</f>
        <v>776.76</v>
      </c>
      <c r="H1752" s="136"/>
    </row>
    <row r="1753" spans="1:14" ht="15" thickTop="1" x14ac:dyDescent="0.3">
      <c r="C1753" s="80"/>
      <c r="D1753" s="125"/>
      <c r="E1753" s="78"/>
      <c r="F1753" s="78"/>
      <c r="G1753" s="137"/>
    </row>
    <row r="1754" spans="1:14" ht="15.6" x14ac:dyDescent="0.3">
      <c r="A1754" s="79" t="s">
        <v>128</v>
      </c>
      <c r="B1754" s="81" t="s">
        <v>337</v>
      </c>
      <c r="C1754" s="80"/>
      <c r="D1754" s="125"/>
      <c r="E1754" s="78"/>
      <c r="F1754" s="78"/>
      <c r="G1754" s="78"/>
    </row>
    <row r="1755" spans="1:14" ht="15.6" x14ac:dyDescent="0.3">
      <c r="A1755" s="79" t="s">
        <v>130</v>
      </c>
      <c r="B1755" s="81" t="s">
        <v>185</v>
      </c>
      <c r="C1755" s="80"/>
      <c r="D1755" s="125"/>
      <c r="E1755" s="78"/>
      <c r="F1755" s="78"/>
      <c r="G1755" s="78"/>
    </row>
    <row r="1756" spans="1:14" x14ac:dyDescent="0.3">
      <c r="C1756" s="80"/>
      <c r="D1756" s="125"/>
      <c r="E1756" s="78"/>
      <c r="F1756" s="78"/>
      <c r="G1756" s="78"/>
    </row>
    <row r="1757" spans="1:14" ht="15" thickBot="1" x14ac:dyDescent="0.35">
      <c r="A1757" s="79" t="s">
        <v>161</v>
      </c>
      <c r="C1757" s="80"/>
      <c r="D1757" s="125"/>
      <c r="E1757" s="78"/>
      <c r="F1757" s="78"/>
      <c r="G1757" s="78"/>
    </row>
    <row r="1758" spans="1:14" ht="15" thickTop="1" x14ac:dyDescent="0.3">
      <c r="A1758" s="84" t="s">
        <v>3</v>
      </c>
      <c r="B1758" s="85" t="s">
        <v>135</v>
      </c>
      <c r="C1758" s="86" t="s">
        <v>5</v>
      </c>
      <c r="D1758" s="87" t="s">
        <v>6</v>
      </c>
      <c r="E1758" s="88" t="s">
        <v>28</v>
      </c>
      <c r="F1758" s="88" t="s">
        <v>28</v>
      </c>
      <c r="G1758" s="89"/>
    </row>
    <row r="1759" spans="1:14" ht="15" thickBot="1" x14ac:dyDescent="0.35">
      <c r="A1759" s="90"/>
      <c r="B1759" s="91"/>
      <c r="C1759" s="92"/>
      <c r="D1759" s="93"/>
      <c r="E1759" s="94" t="s">
        <v>11</v>
      </c>
      <c r="F1759" s="94" t="s">
        <v>10</v>
      </c>
      <c r="G1759" s="89"/>
    </row>
    <row r="1760" spans="1:14" ht="15" thickTop="1" x14ac:dyDescent="0.3">
      <c r="A1760" s="95"/>
      <c r="B1760" s="95"/>
      <c r="C1760" s="126"/>
      <c r="D1760" s="127"/>
      <c r="E1760" s="134"/>
      <c r="F1760" s="134"/>
      <c r="G1760" s="100"/>
    </row>
    <row r="1761" spans="1:13" x14ac:dyDescent="0.3">
      <c r="A1761" s="102"/>
      <c r="B1761" s="102"/>
      <c r="C1761" s="108"/>
      <c r="D1761" s="109"/>
      <c r="E1761" s="100"/>
      <c r="F1761" s="100"/>
      <c r="G1761" s="100"/>
    </row>
    <row r="1762" spans="1:13" x14ac:dyDescent="0.3">
      <c r="A1762" s="114"/>
      <c r="B1762" s="114"/>
      <c r="C1762" s="115"/>
      <c r="D1762" s="116" t="s">
        <v>165</v>
      </c>
      <c r="E1762" s="117"/>
      <c r="F1762" s="132"/>
      <c r="G1762" s="113">
        <f>SUM(F1760:F1761)</f>
        <v>0</v>
      </c>
      <c r="H1762" s="91"/>
    </row>
    <row r="1763" spans="1:13" x14ac:dyDescent="0.3">
      <c r="C1763" s="80"/>
      <c r="D1763" s="125"/>
      <c r="E1763" s="78"/>
      <c r="F1763" s="78"/>
      <c r="G1763" s="117"/>
    </row>
    <row r="1764" spans="1:13" ht="15" thickBot="1" x14ac:dyDescent="0.35">
      <c r="A1764" s="79" t="s">
        <v>166</v>
      </c>
      <c r="C1764" s="80"/>
      <c r="D1764" s="125"/>
      <c r="E1764" s="78"/>
      <c r="F1764" s="78"/>
      <c r="G1764" s="78"/>
    </row>
    <row r="1765" spans="1:13" ht="15" thickTop="1" x14ac:dyDescent="0.3">
      <c r="A1765" s="84" t="s">
        <v>3</v>
      </c>
      <c r="B1765" s="85" t="s">
        <v>135</v>
      </c>
      <c r="C1765" s="86" t="s">
        <v>5</v>
      </c>
      <c r="D1765" s="87" t="s">
        <v>6</v>
      </c>
      <c r="E1765" s="88" t="s">
        <v>28</v>
      </c>
      <c r="F1765" s="88" t="s">
        <v>28</v>
      </c>
      <c r="G1765" s="89"/>
    </row>
    <row r="1766" spans="1:13" ht="15" thickBot="1" x14ac:dyDescent="0.35">
      <c r="A1766" s="90"/>
      <c r="B1766" s="91"/>
      <c r="C1766" s="92"/>
      <c r="D1766" s="93"/>
      <c r="E1766" s="94" t="s">
        <v>11</v>
      </c>
      <c r="F1766" s="94" t="s">
        <v>10</v>
      </c>
      <c r="G1766" s="89"/>
    </row>
    <row r="1767" spans="1:13" ht="15" thickTop="1" x14ac:dyDescent="0.3">
      <c r="A1767" s="95"/>
      <c r="B1767" s="95" t="s">
        <v>167</v>
      </c>
      <c r="C1767" s="126" t="s">
        <v>168</v>
      </c>
      <c r="D1767" s="127">
        <v>2</v>
      </c>
      <c r="E1767" s="134">
        <f>$F$22</f>
        <v>1238.96</v>
      </c>
      <c r="F1767" s="134">
        <f>ROUND(D1767*E1767,2)</f>
        <v>2477.92</v>
      </c>
      <c r="G1767" s="100"/>
    </row>
    <row r="1768" spans="1:13" x14ac:dyDescent="0.3">
      <c r="A1768" s="102"/>
      <c r="B1768" s="102" t="s">
        <v>169</v>
      </c>
      <c r="C1768" s="108" t="s">
        <v>168</v>
      </c>
      <c r="D1768" s="109">
        <v>8</v>
      </c>
      <c r="E1768" s="100">
        <f>$F$39</f>
        <v>386.38</v>
      </c>
      <c r="F1768" s="100">
        <f>ROUND(D1768*E1768,2)</f>
        <v>3091.04</v>
      </c>
      <c r="G1768" s="100"/>
    </row>
    <row r="1769" spans="1:13" x14ac:dyDescent="0.3">
      <c r="A1769" s="114"/>
      <c r="B1769" s="114"/>
      <c r="C1769" s="115"/>
      <c r="D1769" s="116" t="s">
        <v>170</v>
      </c>
      <c r="E1769" s="117"/>
      <c r="F1769" s="132"/>
      <c r="G1769" s="113">
        <f>SUM(F1767:F1768)</f>
        <v>5568.96</v>
      </c>
      <c r="H1769" s="91"/>
    </row>
    <row r="1770" spans="1:13" x14ac:dyDescent="0.3">
      <c r="C1770" s="80"/>
      <c r="D1770" s="125"/>
      <c r="E1770" s="78"/>
      <c r="F1770" s="78"/>
      <c r="G1770" s="117"/>
    </row>
    <row r="1771" spans="1:13" ht="15" thickBot="1" x14ac:dyDescent="0.35">
      <c r="A1771" s="79" t="s">
        <v>187</v>
      </c>
      <c r="C1771" s="80"/>
      <c r="D1771" s="125"/>
      <c r="E1771" s="78"/>
      <c r="F1771" s="78"/>
      <c r="G1771" s="78"/>
      <c r="M1771" s="77"/>
    </row>
    <row r="1772" spans="1:13" ht="15" thickTop="1" x14ac:dyDescent="0.3">
      <c r="A1772" s="84" t="s">
        <v>3</v>
      </c>
      <c r="B1772" s="85" t="s">
        <v>135</v>
      </c>
      <c r="C1772" s="86" t="s">
        <v>5</v>
      </c>
      <c r="D1772" s="87" t="s">
        <v>6</v>
      </c>
      <c r="E1772" s="88" t="s">
        <v>28</v>
      </c>
      <c r="F1772" s="88" t="s">
        <v>28</v>
      </c>
      <c r="G1772" s="89"/>
      <c r="M1772" s="77"/>
    </row>
    <row r="1773" spans="1:13" ht="15" thickBot="1" x14ac:dyDescent="0.35">
      <c r="A1773" s="90"/>
      <c r="B1773" s="91"/>
      <c r="C1773" s="92"/>
      <c r="D1773" s="93"/>
      <c r="E1773" s="94" t="s">
        <v>11</v>
      </c>
      <c r="F1773" s="94" t="s">
        <v>10</v>
      </c>
      <c r="G1773" s="89"/>
      <c r="M1773" s="77"/>
    </row>
    <row r="1774" spans="1:13" ht="15" thickTop="1" x14ac:dyDescent="0.3">
      <c r="A1774" s="95"/>
      <c r="B1774" s="95" t="s">
        <v>162</v>
      </c>
      <c r="C1774" s="126" t="s">
        <v>163</v>
      </c>
      <c r="D1774" s="127">
        <v>0.1</v>
      </c>
      <c r="E1774" s="128">
        <v>40</v>
      </c>
      <c r="F1774" s="129">
        <f>ROUND(D1774*E1774,2)</f>
        <v>4</v>
      </c>
      <c r="G1774" s="100"/>
      <c r="M1774" s="77"/>
    </row>
    <row r="1775" spans="1:13" x14ac:dyDescent="0.3">
      <c r="A1775" s="102"/>
      <c r="B1775" s="102" t="s">
        <v>164</v>
      </c>
      <c r="C1775" s="108" t="s">
        <v>163</v>
      </c>
      <c r="D1775" s="109">
        <v>0.2</v>
      </c>
      <c r="E1775" s="130">
        <v>80</v>
      </c>
      <c r="F1775" s="131">
        <f>ROUND(D1775*E1775,2)</f>
        <v>16</v>
      </c>
      <c r="G1775" s="100"/>
      <c r="M1775" s="77"/>
    </row>
    <row r="1776" spans="1:13" ht="13.2" x14ac:dyDescent="0.25">
      <c r="A1776" s="102"/>
      <c r="B1776" s="102"/>
      <c r="C1776" s="108"/>
      <c r="D1776" s="109"/>
      <c r="E1776" s="130"/>
      <c r="F1776" s="130"/>
      <c r="G1776" s="100"/>
      <c r="J1776" s="119"/>
      <c r="K1776" s="120"/>
      <c r="L1776" s="121"/>
      <c r="M1776" s="121"/>
    </row>
    <row r="1777" spans="1:14" ht="15" thickBot="1" x14ac:dyDescent="0.35">
      <c r="A1777" s="114"/>
      <c r="B1777" s="114"/>
      <c r="C1777" s="115"/>
      <c r="D1777" s="116" t="s">
        <v>165</v>
      </c>
      <c r="E1777" s="117"/>
      <c r="F1777" s="132"/>
      <c r="G1777" s="113">
        <f>SUM(F1774:F1776)</f>
        <v>20</v>
      </c>
      <c r="H1777" s="91"/>
      <c r="J1777" s="61"/>
      <c r="L1777" s="122"/>
      <c r="M1777" s="77"/>
      <c r="N1777" s="133"/>
    </row>
    <row r="1778" spans="1:14" ht="15" thickBot="1" x14ac:dyDescent="0.35">
      <c r="C1778" s="80"/>
      <c r="D1778" s="125"/>
      <c r="E1778" s="78"/>
      <c r="F1778" s="78"/>
      <c r="G1778" s="117"/>
      <c r="M1778" s="123"/>
      <c r="N1778" s="124"/>
    </row>
    <row r="1779" spans="1:14" ht="15.6" thickTop="1" thickBot="1" x14ac:dyDescent="0.35">
      <c r="C1779" s="80"/>
      <c r="D1779" s="125" t="s">
        <v>171</v>
      </c>
      <c r="E1779" s="78"/>
      <c r="F1779" s="78"/>
      <c r="G1779" s="135">
        <f>+G1762+G1769+G1777</f>
        <v>5588.96</v>
      </c>
      <c r="H1779" s="136"/>
    </row>
    <row r="1780" spans="1:14" ht="15" thickTop="1" x14ac:dyDescent="0.3">
      <c r="C1780" s="80"/>
      <c r="D1780" s="125"/>
      <c r="E1780" s="78"/>
      <c r="F1780" s="78"/>
      <c r="G1780" s="137"/>
    </row>
    <row r="1781" spans="1:14" ht="15.6" x14ac:dyDescent="0.3">
      <c r="A1781" s="79" t="s">
        <v>128</v>
      </c>
      <c r="B1781" s="81" t="s">
        <v>338</v>
      </c>
      <c r="C1781" s="80"/>
      <c r="D1781" s="125"/>
      <c r="E1781" s="78"/>
      <c r="F1781" s="78"/>
      <c r="G1781" s="78"/>
    </row>
    <row r="1782" spans="1:14" ht="15.6" x14ac:dyDescent="0.3">
      <c r="A1782" s="79" t="s">
        <v>130</v>
      </c>
      <c r="B1782" s="81" t="s">
        <v>202</v>
      </c>
      <c r="C1782" s="80"/>
      <c r="D1782" s="125"/>
      <c r="E1782" s="78"/>
      <c r="F1782" s="78"/>
      <c r="G1782" s="78"/>
    </row>
    <row r="1783" spans="1:14" x14ac:dyDescent="0.3">
      <c r="C1783" s="80"/>
      <c r="D1783" s="125"/>
      <c r="E1783" s="78"/>
      <c r="F1783" s="78"/>
      <c r="G1783" s="78"/>
    </row>
    <row r="1784" spans="1:14" ht="15" thickBot="1" x14ac:dyDescent="0.35">
      <c r="A1784" s="79" t="s">
        <v>161</v>
      </c>
      <c r="C1784" s="80"/>
      <c r="D1784" s="125"/>
      <c r="E1784" s="78"/>
      <c r="F1784" s="78"/>
      <c r="G1784" s="78"/>
    </row>
    <row r="1785" spans="1:14" ht="15" thickTop="1" x14ac:dyDescent="0.3">
      <c r="A1785" s="84" t="s">
        <v>3</v>
      </c>
      <c r="B1785" s="85" t="s">
        <v>135</v>
      </c>
      <c r="C1785" s="86" t="s">
        <v>5</v>
      </c>
      <c r="D1785" s="87" t="s">
        <v>6</v>
      </c>
      <c r="E1785" s="88" t="s">
        <v>28</v>
      </c>
      <c r="F1785" s="88" t="s">
        <v>28</v>
      </c>
      <c r="G1785" s="89"/>
    </row>
    <row r="1786" spans="1:14" ht="15" thickBot="1" x14ac:dyDescent="0.35">
      <c r="A1786" s="90"/>
      <c r="B1786" s="91"/>
      <c r="C1786" s="92"/>
      <c r="D1786" s="93"/>
      <c r="E1786" s="94" t="s">
        <v>11</v>
      </c>
      <c r="F1786" s="94" t="s">
        <v>10</v>
      </c>
      <c r="G1786" s="89"/>
    </row>
    <row r="1787" spans="1:14" ht="15" thickTop="1" x14ac:dyDescent="0.3">
      <c r="A1787" s="95"/>
      <c r="B1787" s="95"/>
      <c r="C1787" s="126"/>
      <c r="D1787" s="127"/>
      <c r="E1787" s="134"/>
      <c r="F1787" s="134"/>
      <c r="G1787" s="100"/>
    </row>
    <row r="1788" spans="1:14" x14ac:dyDescent="0.3">
      <c r="A1788" s="102"/>
      <c r="B1788" s="102"/>
      <c r="C1788" s="108"/>
      <c r="D1788" s="109"/>
      <c r="E1788" s="100"/>
      <c r="F1788" s="100"/>
      <c r="G1788" s="100"/>
    </row>
    <row r="1789" spans="1:14" x14ac:dyDescent="0.3">
      <c r="A1789" s="114"/>
      <c r="B1789" s="114"/>
      <c r="C1789" s="115"/>
      <c r="D1789" s="116" t="s">
        <v>165</v>
      </c>
      <c r="E1789" s="117"/>
      <c r="F1789" s="132"/>
      <c r="G1789" s="113">
        <f>SUM(F1787:F1788)</f>
        <v>0</v>
      </c>
      <c r="H1789" s="91"/>
    </row>
    <row r="1790" spans="1:14" x14ac:dyDescent="0.3">
      <c r="C1790" s="80"/>
      <c r="D1790" s="125"/>
      <c r="E1790" s="78"/>
      <c r="F1790" s="78"/>
      <c r="G1790" s="117"/>
    </row>
    <row r="1791" spans="1:14" ht="15" thickBot="1" x14ac:dyDescent="0.35">
      <c r="A1791" s="79" t="s">
        <v>166</v>
      </c>
      <c r="C1791" s="80"/>
      <c r="D1791" s="125"/>
      <c r="E1791" s="78"/>
      <c r="F1791" s="78"/>
      <c r="G1791" s="78"/>
    </row>
    <row r="1792" spans="1:14" ht="15" thickTop="1" x14ac:dyDescent="0.3">
      <c r="A1792" s="84" t="s">
        <v>3</v>
      </c>
      <c r="B1792" s="85" t="s">
        <v>135</v>
      </c>
      <c r="C1792" s="86" t="s">
        <v>5</v>
      </c>
      <c r="D1792" s="87" t="s">
        <v>6</v>
      </c>
      <c r="E1792" s="88" t="s">
        <v>28</v>
      </c>
      <c r="F1792" s="88" t="s">
        <v>28</v>
      </c>
      <c r="G1792" s="89"/>
    </row>
    <row r="1793" spans="1:14" ht="15" thickBot="1" x14ac:dyDescent="0.35">
      <c r="A1793" s="90"/>
      <c r="B1793" s="91"/>
      <c r="C1793" s="92"/>
      <c r="D1793" s="93"/>
      <c r="E1793" s="94" t="s">
        <v>11</v>
      </c>
      <c r="F1793" s="94" t="s">
        <v>10</v>
      </c>
      <c r="G1793" s="89"/>
    </row>
    <row r="1794" spans="1:14" ht="15" thickTop="1" x14ac:dyDescent="0.3">
      <c r="A1794" s="95"/>
      <c r="B1794" s="95" t="s">
        <v>167</v>
      </c>
      <c r="C1794" s="126" t="s">
        <v>168</v>
      </c>
      <c r="D1794" s="127">
        <v>0.2</v>
      </c>
      <c r="E1794" s="134">
        <f>$F$22</f>
        <v>1238.96</v>
      </c>
      <c r="F1794" s="134">
        <f>ROUND(D1794*E1794,2)</f>
        <v>247.79</v>
      </c>
      <c r="G1794" s="100"/>
    </row>
    <row r="1795" spans="1:14" x14ac:dyDescent="0.3">
      <c r="A1795" s="102"/>
      <c r="B1795" s="102" t="s">
        <v>169</v>
      </c>
      <c r="C1795" s="108" t="s">
        <v>168</v>
      </c>
      <c r="D1795" s="109">
        <v>0.8</v>
      </c>
      <c r="E1795" s="100">
        <f>$F$39</f>
        <v>386.38</v>
      </c>
      <c r="F1795" s="100">
        <f>ROUND(D1795*E1795,2)</f>
        <v>309.10000000000002</v>
      </c>
      <c r="G1795" s="100"/>
    </row>
    <row r="1796" spans="1:14" x14ac:dyDescent="0.3">
      <c r="A1796" s="114"/>
      <c r="B1796" s="114"/>
      <c r="C1796" s="115"/>
      <c r="D1796" s="116" t="s">
        <v>170</v>
      </c>
      <c r="E1796" s="117"/>
      <c r="F1796" s="132"/>
      <c r="G1796" s="113">
        <f>SUM(F1794:F1795)</f>
        <v>556.89</v>
      </c>
      <c r="H1796" s="91"/>
    </row>
    <row r="1797" spans="1:14" x14ac:dyDescent="0.3">
      <c r="C1797" s="80"/>
      <c r="D1797" s="125"/>
      <c r="E1797" s="78"/>
      <c r="F1797" s="78"/>
      <c r="G1797" s="117"/>
    </row>
    <row r="1798" spans="1:14" ht="15" thickBot="1" x14ac:dyDescent="0.35">
      <c r="A1798" s="79" t="s">
        <v>187</v>
      </c>
      <c r="C1798" s="80"/>
      <c r="D1798" s="125"/>
      <c r="E1798" s="78"/>
      <c r="F1798" s="78"/>
      <c r="G1798" s="78"/>
      <c r="M1798" s="77"/>
    </row>
    <row r="1799" spans="1:14" ht="15" thickTop="1" x14ac:dyDescent="0.3">
      <c r="A1799" s="84" t="s">
        <v>3</v>
      </c>
      <c r="B1799" s="85" t="s">
        <v>135</v>
      </c>
      <c r="C1799" s="86" t="s">
        <v>5</v>
      </c>
      <c r="D1799" s="87" t="s">
        <v>6</v>
      </c>
      <c r="E1799" s="88" t="s">
        <v>28</v>
      </c>
      <c r="F1799" s="88" t="s">
        <v>28</v>
      </c>
      <c r="G1799" s="89"/>
      <c r="M1799" s="77"/>
    </row>
    <row r="1800" spans="1:14" ht="15" thickBot="1" x14ac:dyDescent="0.35">
      <c r="A1800" s="90"/>
      <c r="B1800" s="91"/>
      <c r="C1800" s="92"/>
      <c r="D1800" s="93"/>
      <c r="E1800" s="94" t="s">
        <v>11</v>
      </c>
      <c r="F1800" s="94" t="s">
        <v>10</v>
      </c>
      <c r="G1800" s="89"/>
      <c r="M1800" s="77"/>
    </row>
    <row r="1801" spans="1:14" ht="15" thickTop="1" x14ac:dyDescent="0.3">
      <c r="A1801" s="95"/>
      <c r="B1801" s="95" t="s">
        <v>162</v>
      </c>
      <c r="C1801" s="126" t="s">
        <v>163</v>
      </c>
      <c r="D1801" s="127">
        <v>0.02</v>
      </c>
      <c r="E1801" s="128">
        <v>40</v>
      </c>
      <c r="F1801" s="129">
        <f>ROUND(D1801*E1801,2)</f>
        <v>0.8</v>
      </c>
      <c r="G1801" s="100"/>
      <c r="M1801" s="77"/>
    </row>
    <row r="1802" spans="1:14" x14ac:dyDescent="0.3">
      <c r="A1802" s="102"/>
      <c r="B1802" s="102" t="s">
        <v>164</v>
      </c>
      <c r="C1802" s="108" t="s">
        <v>163</v>
      </c>
      <c r="D1802" s="109">
        <v>0.02</v>
      </c>
      <c r="E1802" s="130">
        <v>80</v>
      </c>
      <c r="F1802" s="131">
        <f>ROUND(D1802*E1802,2)</f>
        <v>1.6</v>
      </c>
      <c r="G1802" s="100"/>
      <c r="M1802" s="77"/>
    </row>
    <row r="1803" spans="1:14" ht="13.2" x14ac:dyDescent="0.25">
      <c r="A1803" s="102"/>
      <c r="B1803" s="102"/>
      <c r="C1803" s="108"/>
      <c r="D1803" s="109"/>
      <c r="E1803" s="130"/>
      <c r="F1803" s="130"/>
      <c r="G1803" s="100"/>
      <c r="J1803" s="119"/>
      <c r="K1803" s="120"/>
      <c r="L1803" s="121"/>
      <c r="M1803" s="121"/>
    </row>
    <row r="1804" spans="1:14" ht="15" thickBot="1" x14ac:dyDescent="0.35">
      <c r="A1804" s="114"/>
      <c r="B1804" s="114"/>
      <c r="C1804" s="115"/>
      <c r="D1804" s="116" t="s">
        <v>165</v>
      </c>
      <c r="E1804" s="117"/>
      <c r="F1804" s="132"/>
      <c r="G1804" s="113">
        <f>SUM(F1801:F1803)</f>
        <v>2.4000000000000004</v>
      </c>
      <c r="H1804" s="91"/>
      <c r="J1804" s="61"/>
      <c r="L1804" s="122"/>
      <c r="M1804" s="77"/>
      <c r="N1804" s="133"/>
    </row>
    <row r="1805" spans="1:14" ht="15" thickBot="1" x14ac:dyDescent="0.35">
      <c r="C1805" s="80"/>
      <c r="D1805" s="125"/>
      <c r="E1805" s="78"/>
      <c r="F1805" s="78"/>
      <c r="G1805" s="117"/>
      <c r="M1805" s="123"/>
      <c r="N1805" s="124"/>
    </row>
    <row r="1806" spans="1:14" ht="15.6" thickTop="1" thickBot="1" x14ac:dyDescent="0.35">
      <c r="C1806" s="80"/>
      <c r="D1806" s="125" t="s">
        <v>171</v>
      </c>
      <c r="E1806" s="78"/>
      <c r="F1806" s="78"/>
      <c r="G1806" s="135">
        <f>+G1789+G1796+G1804</f>
        <v>559.29</v>
      </c>
      <c r="H1806" s="136"/>
    </row>
    <row r="1807" spans="1:14" ht="15" thickTop="1" x14ac:dyDescent="0.3">
      <c r="C1807" s="80"/>
      <c r="D1807" s="125"/>
      <c r="E1807" s="78"/>
      <c r="F1807" s="78"/>
      <c r="G1807" s="137"/>
    </row>
    <row r="1808" spans="1:14" ht="15.6" x14ac:dyDescent="0.3">
      <c r="A1808" s="79" t="s">
        <v>128</v>
      </c>
      <c r="B1808" s="81" t="s">
        <v>339</v>
      </c>
      <c r="C1808" s="80"/>
      <c r="D1808" s="125"/>
      <c r="E1808" s="78"/>
      <c r="F1808" s="78"/>
      <c r="G1808" s="78"/>
    </row>
    <row r="1809" spans="1:8" ht="15.6" x14ac:dyDescent="0.3">
      <c r="A1809" s="79" t="s">
        <v>130</v>
      </c>
      <c r="B1809" s="81" t="s">
        <v>202</v>
      </c>
      <c r="C1809" s="80"/>
      <c r="D1809" s="125"/>
      <c r="E1809" s="78"/>
      <c r="F1809" s="78"/>
      <c r="G1809" s="78"/>
    </row>
    <row r="1810" spans="1:8" x14ac:dyDescent="0.3">
      <c r="C1810" s="80"/>
      <c r="D1810" s="125"/>
      <c r="E1810" s="78"/>
      <c r="F1810" s="78"/>
      <c r="G1810" s="78"/>
    </row>
    <row r="1811" spans="1:8" ht="15" thickBot="1" x14ac:dyDescent="0.35">
      <c r="A1811" s="79" t="s">
        <v>161</v>
      </c>
      <c r="C1811" s="80"/>
      <c r="D1811" s="125"/>
      <c r="E1811" s="78"/>
      <c r="F1811" s="78"/>
      <c r="G1811" s="78"/>
    </row>
    <row r="1812" spans="1:8" ht="15" thickTop="1" x14ac:dyDescent="0.3">
      <c r="A1812" s="84" t="s">
        <v>3</v>
      </c>
      <c r="B1812" s="85" t="s">
        <v>135</v>
      </c>
      <c r="C1812" s="86" t="s">
        <v>5</v>
      </c>
      <c r="D1812" s="87" t="s">
        <v>6</v>
      </c>
      <c r="E1812" s="88" t="s">
        <v>28</v>
      </c>
      <c r="F1812" s="88" t="s">
        <v>28</v>
      </c>
      <c r="G1812" s="89"/>
    </row>
    <row r="1813" spans="1:8" ht="15" thickBot="1" x14ac:dyDescent="0.35">
      <c r="A1813" s="90"/>
      <c r="B1813" s="91"/>
      <c r="C1813" s="92"/>
      <c r="D1813" s="93"/>
      <c r="E1813" s="94" t="s">
        <v>11</v>
      </c>
      <c r="F1813" s="94" t="s">
        <v>10</v>
      </c>
      <c r="G1813" s="89"/>
    </row>
    <row r="1814" spans="1:8" ht="15" thickTop="1" x14ac:dyDescent="0.3">
      <c r="A1814" s="95"/>
      <c r="B1814" s="95"/>
      <c r="C1814" s="126"/>
      <c r="D1814" s="127"/>
      <c r="E1814" s="134"/>
      <c r="F1814" s="134"/>
      <c r="G1814" s="100"/>
    </row>
    <row r="1815" spans="1:8" x14ac:dyDescent="0.3">
      <c r="A1815" s="102"/>
      <c r="B1815" s="102"/>
      <c r="C1815" s="108"/>
      <c r="D1815" s="109"/>
      <c r="E1815" s="100"/>
      <c r="F1815" s="100"/>
      <c r="G1815" s="100"/>
    </row>
    <row r="1816" spans="1:8" x14ac:dyDescent="0.3">
      <c r="A1816" s="114"/>
      <c r="B1816" s="114"/>
      <c r="C1816" s="115"/>
      <c r="D1816" s="116" t="s">
        <v>165</v>
      </c>
      <c r="E1816" s="117"/>
      <c r="F1816" s="132"/>
      <c r="G1816" s="113">
        <f>SUM(F1814:F1815)</f>
        <v>0</v>
      </c>
      <c r="H1816" s="91"/>
    </row>
    <row r="1817" spans="1:8" x14ac:dyDescent="0.3">
      <c r="C1817" s="80"/>
      <c r="D1817" s="125"/>
      <c r="E1817" s="78"/>
      <c r="F1817" s="78"/>
      <c r="G1817" s="117"/>
    </row>
    <row r="1818" spans="1:8" ht="15" thickBot="1" x14ac:dyDescent="0.35">
      <c r="A1818" s="79" t="s">
        <v>166</v>
      </c>
      <c r="C1818" s="80"/>
      <c r="D1818" s="125"/>
      <c r="E1818" s="78"/>
      <c r="F1818" s="78"/>
      <c r="G1818" s="78"/>
    </row>
    <row r="1819" spans="1:8" ht="15" thickTop="1" x14ac:dyDescent="0.3">
      <c r="A1819" s="84" t="s">
        <v>3</v>
      </c>
      <c r="B1819" s="85" t="s">
        <v>135</v>
      </c>
      <c r="C1819" s="86" t="s">
        <v>5</v>
      </c>
      <c r="D1819" s="87" t="s">
        <v>6</v>
      </c>
      <c r="E1819" s="88" t="s">
        <v>28</v>
      </c>
      <c r="F1819" s="88" t="s">
        <v>28</v>
      </c>
      <c r="G1819" s="89"/>
    </row>
    <row r="1820" spans="1:8" ht="15" thickBot="1" x14ac:dyDescent="0.35">
      <c r="A1820" s="90"/>
      <c r="B1820" s="91"/>
      <c r="C1820" s="92"/>
      <c r="D1820" s="93"/>
      <c r="E1820" s="94" t="s">
        <v>11</v>
      </c>
      <c r="F1820" s="94" t="s">
        <v>10</v>
      </c>
      <c r="G1820" s="89"/>
    </row>
    <row r="1821" spans="1:8" ht="15" thickTop="1" x14ac:dyDescent="0.3">
      <c r="A1821" s="95"/>
      <c r="B1821" s="95" t="s">
        <v>167</v>
      </c>
      <c r="C1821" s="126" t="s">
        <v>168</v>
      </c>
      <c r="D1821" s="127">
        <v>0.5</v>
      </c>
      <c r="E1821" s="134">
        <f>$F$22</f>
        <v>1238.96</v>
      </c>
      <c r="F1821" s="134">
        <f>ROUND(D1821*E1821,2)</f>
        <v>619.48</v>
      </c>
      <c r="G1821" s="100"/>
    </row>
    <row r="1822" spans="1:8" x14ac:dyDescent="0.3">
      <c r="A1822" s="102"/>
      <c r="B1822" s="102" t="s">
        <v>169</v>
      </c>
      <c r="C1822" s="108" t="s">
        <v>168</v>
      </c>
      <c r="D1822" s="109">
        <v>1.5</v>
      </c>
      <c r="E1822" s="100">
        <f>$F$39</f>
        <v>386.38</v>
      </c>
      <c r="F1822" s="100">
        <f>ROUND(D1822*E1822,2)</f>
        <v>579.57000000000005</v>
      </c>
      <c r="G1822" s="100"/>
    </row>
    <row r="1823" spans="1:8" x14ac:dyDescent="0.3">
      <c r="A1823" s="114"/>
      <c r="B1823" s="114"/>
      <c r="C1823" s="115"/>
      <c r="D1823" s="116" t="s">
        <v>170</v>
      </c>
      <c r="E1823" s="117"/>
      <c r="F1823" s="132"/>
      <c r="G1823" s="113">
        <f>SUM(F1821:F1822)</f>
        <v>1199.0500000000002</v>
      </c>
      <c r="H1823" s="91"/>
    </row>
    <row r="1824" spans="1:8" x14ac:dyDescent="0.3">
      <c r="C1824" s="80"/>
      <c r="D1824" s="125"/>
      <c r="E1824" s="78"/>
      <c r="F1824" s="78"/>
      <c r="G1824" s="117"/>
    </row>
    <row r="1825" spans="1:14" ht="15" thickBot="1" x14ac:dyDescent="0.35">
      <c r="A1825" s="79" t="s">
        <v>187</v>
      </c>
      <c r="C1825" s="80"/>
      <c r="D1825" s="125"/>
      <c r="E1825" s="78"/>
      <c r="F1825" s="78"/>
      <c r="G1825" s="78"/>
      <c r="M1825" s="77"/>
    </row>
    <row r="1826" spans="1:14" ht="15" thickTop="1" x14ac:dyDescent="0.3">
      <c r="A1826" s="84" t="s">
        <v>3</v>
      </c>
      <c r="B1826" s="85" t="s">
        <v>135</v>
      </c>
      <c r="C1826" s="86" t="s">
        <v>5</v>
      </c>
      <c r="D1826" s="87" t="s">
        <v>6</v>
      </c>
      <c r="E1826" s="88" t="s">
        <v>28</v>
      </c>
      <c r="F1826" s="88" t="s">
        <v>28</v>
      </c>
      <c r="G1826" s="89"/>
      <c r="M1826" s="77"/>
    </row>
    <row r="1827" spans="1:14" ht="15" thickBot="1" x14ac:dyDescent="0.35">
      <c r="A1827" s="90"/>
      <c r="B1827" s="91"/>
      <c r="C1827" s="92"/>
      <c r="D1827" s="93"/>
      <c r="E1827" s="94" t="s">
        <v>11</v>
      </c>
      <c r="F1827" s="94" t="s">
        <v>10</v>
      </c>
      <c r="G1827" s="89"/>
      <c r="M1827" s="77"/>
    </row>
    <row r="1828" spans="1:14" ht="15" thickTop="1" x14ac:dyDescent="0.3">
      <c r="A1828" s="95"/>
      <c r="B1828" s="95" t="s">
        <v>162</v>
      </c>
      <c r="C1828" s="126" t="s">
        <v>163</v>
      </c>
      <c r="D1828" s="127">
        <v>0.02</v>
      </c>
      <c r="E1828" s="128">
        <v>40</v>
      </c>
      <c r="F1828" s="129">
        <f>ROUND(D1828*E1828,2)</f>
        <v>0.8</v>
      </c>
      <c r="G1828" s="100"/>
      <c r="M1828" s="77"/>
    </row>
    <row r="1829" spans="1:14" x14ac:dyDescent="0.3">
      <c r="A1829" s="102"/>
      <c r="B1829" s="102" t="s">
        <v>164</v>
      </c>
      <c r="C1829" s="108" t="s">
        <v>163</v>
      </c>
      <c r="D1829" s="109">
        <v>0.02</v>
      </c>
      <c r="E1829" s="130">
        <v>80</v>
      </c>
      <c r="F1829" s="131">
        <f>ROUND(D1829*E1829,2)</f>
        <v>1.6</v>
      </c>
      <c r="G1829" s="100"/>
      <c r="M1829" s="77"/>
    </row>
    <row r="1830" spans="1:14" ht="13.2" x14ac:dyDescent="0.25">
      <c r="A1830" s="102"/>
      <c r="B1830" s="102"/>
      <c r="C1830" s="108"/>
      <c r="D1830" s="109"/>
      <c r="E1830" s="130"/>
      <c r="F1830" s="130"/>
      <c r="G1830" s="100"/>
      <c r="J1830" s="119"/>
      <c r="K1830" s="120"/>
      <c r="L1830" s="121"/>
      <c r="M1830" s="121"/>
    </row>
    <row r="1831" spans="1:14" ht="15" thickBot="1" x14ac:dyDescent="0.35">
      <c r="A1831" s="114"/>
      <c r="B1831" s="114"/>
      <c r="C1831" s="115"/>
      <c r="D1831" s="116" t="s">
        <v>165</v>
      </c>
      <c r="E1831" s="117"/>
      <c r="F1831" s="132"/>
      <c r="G1831" s="113">
        <f>SUM(F1828:F1830)</f>
        <v>2.4000000000000004</v>
      </c>
      <c r="H1831" s="91"/>
      <c r="J1831" s="61"/>
      <c r="L1831" s="122"/>
      <c r="M1831" s="77"/>
      <c r="N1831" s="133"/>
    </row>
    <row r="1832" spans="1:14" ht="15" thickBot="1" x14ac:dyDescent="0.35">
      <c r="C1832" s="80"/>
      <c r="D1832" s="125"/>
      <c r="E1832" s="78"/>
      <c r="F1832" s="78"/>
      <c r="G1832" s="117"/>
      <c r="M1832" s="123"/>
      <c r="N1832" s="124"/>
    </row>
    <row r="1833" spans="1:14" ht="15.6" thickTop="1" thickBot="1" x14ac:dyDescent="0.35">
      <c r="C1833" s="80"/>
      <c r="D1833" s="125" t="s">
        <v>171</v>
      </c>
      <c r="E1833" s="78"/>
      <c r="F1833" s="78"/>
      <c r="G1833" s="135">
        <f>+G1816+G1823+G1831</f>
        <v>1201.4500000000003</v>
      </c>
      <c r="H1833" s="136"/>
    </row>
    <row r="1834" spans="1:14" ht="15" thickTop="1" x14ac:dyDescent="0.3">
      <c r="C1834" s="80"/>
      <c r="D1834" s="125"/>
      <c r="E1834" s="78"/>
      <c r="F1834" s="78"/>
      <c r="G1834" s="137"/>
    </row>
    <row r="1835" spans="1:14" ht="15.6" x14ac:dyDescent="0.3">
      <c r="A1835" s="79" t="s">
        <v>128</v>
      </c>
      <c r="B1835" s="81" t="s">
        <v>340</v>
      </c>
      <c r="C1835" s="80"/>
      <c r="D1835" s="125"/>
      <c r="E1835" s="78"/>
      <c r="F1835" s="78"/>
      <c r="G1835" s="78"/>
    </row>
    <row r="1836" spans="1:14" ht="15.6" x14ac:dyDescent="0.3">
      <c r="A1836" s="79" t="s">
        <v>130</v>
      </c>
      <c r="B1836" s="81" t="s">
        <v>202</v>
      </c>
      <c r="C1836" s="80"/>
      <c r="D1836" s="125"/>
      <c r="E1836" s="78"/>
      <c r="F1836" s="78"/>
      <c r="G1836" s="78"/>
    </row>
    <row r="1837" spans="1:14" x14ac:dyDescent="0.3">
      <c r="C1837" s="80"/>
      <c r="D1837" s="125"/>
      <c r="E1837" s="78"/>
      <c r="F1837" s="78"/>
      <c r="G1837" s="78"/>
    </row>
    <row r="1838" spans="1:14" ht="15" thickBot="1" x14ac:dyDescent="0.35">
      <c r="A1838" s="79" t="s">
        <v>161</v>
      </c>
      <c r="C1838" s="80"/>
      <c r="D1838" s="125"/>
      <c r="E1838" s="78"/>
      <c r="F1838" s="78"/>
      <c r="G1838" s="78"/>
    </row>
    <row r="1839" spans="1:14" ht="15" thickTop="1" x14ac:dyDescent="0.3">
      <c r="A1839" s="84" t="s">
        <v>3</v>
      </c>
      <c r="B1839" s="85" t="s">
        <v>135</v>
      </c>
      <c r="C1839" s="86" t="s">
        <v>5</v>
      </c>
      <c r="D1839" s="87" t="s">
        <v>6</v>
      </c>
      <c r="E1839" s="88" t="s">
        <v>28</v>
      </c>
      <c r="F1839" s="88" t="s">
        <v>28</v>
      </c>
      <c r="G1839" s="89"/>
    </row>
    <row r="1840" spans="1:14" ht="15" thickBot="1" x14ac:dyDescent="0.35">
      <c r="A1840" s="90"/>
      <c r="B1840" s="91"/>
      <c r="C1840" s="92"/>
      <c r="D1840" s="93"/>
      <c r="E1840" s="94" t="s">
        <v>11</v>
      </c>
      <c r="F1840" s="94" t="s">
        <v>10</v>
      </c>
      <c r="G1840" s="89"/>
    </row>
    <row r="1841" spans="1:13" ht="15" thickTop="1" x14ac:dyDescent="0.3">
      <c r="A1841" s="95"/>
      <c r="B1841" s="95"/>
      <c r="C1841" s="126"/>
      <c r="D1841" s="127"/>
      <c r="E1841" s="134"/>
      <c r="F1841" s="134"/>
      <c r="G1841" s="100"/>
    </row>
    <row r="1842" spans="1:13" x14ac:dyDescent="0.3">
      <c r="A1842" s="102"/>
      <c r="B1842" s="102"/>
      <c r="C1842" s="108"/>
      <c r="D1842" s="109"/>
      <c r="E1842" s="100"/>
      <c r="F1842" s="100"/>
      <c r="G1842" s="100"/>
    </row>
    <row r="1843" spans="1:13" x14ac:dyDescent="0.3">
      <c r="A1843" s="114"/>
      <c r="B1843" s="114"/>
      <c r="C1843" s="115"/>
      <c r="D1843" s="116" t="s">
        <v>165</v>
      </c>
      <c r="E1843" s="117"/>
      <c r="F1843" s="132"/>
      <c r="G1843" s="113">
        <f>SUM(F1841:F1842)</f>
        <v>0</v>
      </c>
      <c r="H1843" s="91"/>
    </row>
    <row r="1844" spans="1:13" x14ac:dyDescent="0.3">
      <c r="C1844" s="80"/>
      <c r="D1844" s="125"/>
      <c r="E1844" s="78"/>
      <c r="F1844" s="78"/>
      <c r="G1844" s="117"/>
    </row>
    <row r="1845" spans="1:13" ht="15" thickBot="1" x14ac:dyDescent="0.35">
      <c r="A1845" s="79" t="s">
        <v>166</v>
      </c>
      <c r="C1845" s="80"/>
      <c r="D1845" s="125"/>
      <c r="E1845" s="78"/>
      <c r="F1845" s="78"/>
      <c r="G1845" s="78"/>
    </row>
    <row r="1846" spans="1:13" ht="15" thickTop="1" x14ac:dyDescent="0.3">
      <c r="A1846" s="84" t="s">
        <v>3</v>
      </c>
      <c r="B1846" s="85" t="s">
        <v>135</v>
      </c>
      <c r="C1846" s="86" t="s">
        <v>5</v>
      </c>
      <c r="D1846" s="87" t="s">
        <v>6</v>
      </c>
      <c r="E1846" s="88" t="s">
        <v>28</v>
      </c>
      <c r="F1846" s="88" t="s">
        <v>28</v>
      </c>
      <c r="G1846" s="89"/>
    </row>
    <row r="1847" spans="1:13" ht="15" thickBot="1" x14ac:dyDescent="0.35">
      <c r="A1847" s="90"/>
      <c r="B1847" s="91"/>
      <c r="C1847" s="92"/>
      <c r="D1847" s="93"/>
      <c r="E1847" s="94" t="s">
        <v>11</v>
      </c>
      <c r="F1847" s="94" t="s">
        <v>10</v>
      </c>
      <c r="G1847" s="89"/>
    </row>
    <row r="1848" spans="1:13" ht="15" thickTop="1" x14ac:dyDescent="0.3">
      <c r="A1848" s="95"/>
      <c r="B1848" s="95" t="s">
        <v>167</v>
      </c>
      <c r="C1848" s="126" t="s">
        <v>168</v>
      </c>
      <c r="D1848" s="127">
        <v>0.2</v>
      </c>
      <c r="E1848" s="134">
        <f>$F$22</f>
        <v>1238.96</v>
      </c>
      <c r="F1848" s="134">
        <f>ROUND(D1848*E1848,2)</f>
        <v>247.79</v>
      </c>
      <c r="G1848" s="100"/>
    </row>
    <row r="1849" spans="1:13" x14ac:dyDescent="0.3">
      <c r="A1849" s="102"/>
      <c r="B1849" s="102" t="s">
        <v>169</v>
      </c>
      <c r="C1849" s="108" t="s">
        <v>168</v>
      </c>
      <c r="D1849" s="109">
        <v>1.2</v>
      </c>
      <c r="E1849" s="100">
        <f>$F$39</f>
        <v>386.38</v>
      </c>
      <c r="F1849" s="100">
        <f>ROUND(D1849*E1849,2)</f>
        <v>463.66</v>
      </c>
      <c r="G1849" s="100"/>
    </row>
    <row r="1850" spans="1:13" x14ac:dyDescent="0.3">
      <c r="A1850" s="114"/>
      <c r="B1850" s="114"/>
      <c r="C1850" s="115"/>
      <c r="D1850" s="116" t="s">
        <v>170</v>
      </c>
      <c r="E1850" s="117"/>
      <c r="F1850" s="132"/>
      <c r="G1850" s="113">
        <f>SUM(F1848:F1849)</f>
        <v>711.45</v>
      </c>
      <c r="H1850" s="91"/>
    </row>
    <row r="1851" spans="1:13" x14ac:dyDescent="0.3">
      <c r="C1851" s="80"/>
      <c r="D1851" s="125"/>
      <c r="E1851" s="78"/>
      <c r="F1851" s="78"/>
      <c r="G1851" s="117"/>
    </row>
    <row r="1852" spans="1:13" ht="15" thickBot="1" x14ac:dyDescent="0.35">
      <c r="A1852" s="79" t="s">
        <v>187</v>
      </c>
      <c r="C1852" s="80"/>
      <c r="D1852" s="125"/>
      <c r="E1852" s="78"/>
      <c r="F1852" s="78"/>
      <c r="G1852" s="78"/>
      <c r="M1852" s="77"/>
    </row>
    <row r="1853" spans="1:13" ht="15" thickTop="1" x14ac:dyDescent="0.3">
      <c r="A1853" s="84" t="s">
        <v>3</v>
      </c>
      <c r="B1853" s="85" t="s">
        <v>135</v>
      </c>
      <c r="C1853" s="86" t="s">
        <v>5</v>
      </c>
      <c r="D1853" s="87" t="s">
        <v>6</v>
      </c>
      <c r="E1853" s="88" t="s">
        <v>28</v>
      </c>
      <c r="F1853" s="88" t="s">
        <v>28</v>
      </c>
      <c r="G1853" s="89"/>
      <c r="M1853" s="77"/>
    </row>
    <row r="1854" spans="1:13" ht="15" thickBot="1" x14ac:dyDescent="0.35">
      <c r="A1854" s="90"/>
      <c r="B1854" s="91"/>
      <c r="C1854" s="92"/>
      <c r="D1854" s="93"/>
      <c r="E1854" s="94" t="s">
        <v>11</v>
      </c>
      <c r="F1854" s="94" t="s">
        <v>10</v>
      </c>
      <c r="G1854" s="89"/>
      <c r="M1854" s="77"/>
    </row>
    <row r="1855" spans="1:13" ht="15" thickTop="1" x14ac:dyDescent="0.3">
      <c r="A1855" s="95"/>
      <c r="B1855" s="95" t="s">
        <v>162</v>
      </c>
      <c r="C1855" s="126" t="s">
        <v>163</v>
      </c>
      <c r="D1855" s="127">
        <v>0</v>
      </c>
      <c r="E1855" s="128">
        <v>40</v>
      </c>
      <c r="F1855" s="129">
        <f>ROUND(D1855*E1855,2)</f>
        <v>0</v>
      </c>
      <c r="G1855" s="100"/>
      <c r="M1855" s="77"/>
    </row>
    <row r="1856" spans="1:13" x14ac:dyDescent="0.3">
      <c r="A1856" s="102"/>
      <c r="B1856" s="102" t="s">
        <v>164</v>
      </c>
      <c r="C1856" s="108" t="s">
        <v>163</v>
      </c>
      <c r="D1856" s="109">
        <v>0.02</v>
      </c>
      <c r="E1856" s="130">
        <v>80</v>
      </c>
      <c r="F1856" s="131">
        <f>ROUND(D1856*E1856,2)</f>
        <v>1.6</v>
      </c>
      <c r="G1856" s="100"/>
      <c r="M1856" s="77"/>
    </row>
    <row r="1857" spans="1:14" ht="13.2" x14ac:dyDescent="0.25">
      <c r="A1857" s="102"/>
      <c r="B1857" s="102"/>
      <c r="C1857" s="108"/>
      <c r="D1857" s="109"/>
      <c r="E1857" s="130"/>
      <c r="F1857" s="130"/>
      <c r="G1857" s="100"/>
      <c r="J1857" s="119"/>
      <c r="K1857" s="120"/>
      <c r="L1857" s="121"/>
      <c r="M1857" s="121"/>
    </row>
    <row r="1858" spans="1:14" ht="15" thickBot="1" x14ac:dyDescent="0.35">
      <c r="A1858" s="114"/>
      <c r="B1858" s="114"/>
      <c r="C1858" s="115"/>
      <c r="D1858" s="116" t="s">
        <v>165</v>
      </c>
      <c r="E1858" s="117"/>
      <c r="F1858" s="132"/>
      <c r="G1858" s="113">
        <f>SUM(F1855:F1857)</f>
        <v>1.6</v>
      </c>
      <c r="H1858" s="91"/>
      <c r="J1858" s="61"/>
      <c r="L1858" s="122"/>
      <c r="M1858" s="77"/>
      <c r="N1858" s="133"/>
    </row>
    <row r="1859" spans="1:14" ht="15" thickBot="1" x14ac:dyDescent="0.35">
      <c r="C1859" s="80"/>
      <c r="D1859" s="125"/>
      <c r="E1859" s="78"/>
      <c r="F1859" s="78"/>
      <c r="G1859" s="117"/>
      <c r="M1859" s="123"/>
      <c r="N1859" s="124"/>
    </row>
    <row r="1860" spans="1:14" ht="15.6" thickTop="1" thickBot="1" x14ac:dyDescent="0.35">
      <c r="C1860" s="80"/>
      <c r="D1860" s="125" t="s">
        <v>171</v>
      </c>
      <c r="E1860" s="78"/>
      <c r="F1860" s="78"/>
      <c r="G1860" s="135">
        <f>+G1843+G1850+G1858</f>
        <v>713.05000000000007</v>
      </c>
      <c r="H1860" s="136"/>
    </row>
    <row r="1861" spans="1:14" ht="15" thickTop="1" x14ac:dyDescent="0.3">
      <c r="C1861" s="80"/>
      <c r="D1861" s="125"/>
      <c r="E1861" s="78"/>
      <c r="F1861" s="78"/>
      <c r="G1861" s="137"/>
    </row>
    <row r="1862" spans="1:14" ht="15.6" x14ac:dyDescent="0.3">
      <c r="A1862" s="79" t="s">
        <v>128</v>
      </c>
      <c r="B1862" s="81" t="s">
        <v>341</v>
      </c>
      <c r="C1862" s="80"/>
      <c r="D1862" s="125"/>
      <c r="E1862" s="78"/>
      <c r="F1862" s="78"/>
      <c r="G1862" s="78"/>
    </row>
    <row r="1863" spans="1:14" ht="15.6" x14ac:dyDescent="0.3">
      <c r="A1863" s="79" t="s">
        <v>130</v>
      </c>
      <c r="B1863" s="81" t="s">
        <v>202</v>
      </c>
      <c r="C1863" s="80"/>
      <c r="D1863" s="125"/>
      <c r="E1863" s="78"/>
      <c r="F1863" s="78"/>
      <c r="G1863" s="78"/>
    </row>
    <row r="1864" spans="1:14" x14ac:dyDescent="0.3">
      <c r="C1864" s="80"/>
      <c r="D1864" s="125"/>
      <c r="E1864" s="78"/>
      <c r="F1864" s="78"/>
      <c r="G1864" s="78"/>
    </row>
    <row r="1865" spans="1:14" ht="15" thickBot="1" x14ac:dyDescent="0.35">
      <c r="A1865" s="79" t="s">
        <v>161</v>
      </c>
      <c r="C1865" s="80"/>
      <c r="D1865" s="125"/>
      <c r="E1865" s="78"/>
      <c r="F1865" s="78"/>
      <c r="G1865" s="78"/>
    </row>
    <row r="1866" spans="1:14" ht="15" thickTop="1" x14ac:dyDescent="0.3">
      <c r="A1866" s="84" t="s">
        <v>3</v>
      </c>
      <c r="B1866" s="85" t="s">
        <v>135</v>
      </c>
      <c r="C1866" s="86" t="s">
        <v>5</v>
      </c>
      <c r="D1866" s="87" t="s">
        <v>6</v>
      </c>
      <c r="E1866" s="88" t="s">
        <v>28</v>
      </c>
      <c r="F1866" s="88" t="s">
        <v>28</v>
      </c>
      <c r="G1866" s="89"/>
    </row>
    <row r="1867" spans="1:14" ht="15" thickBot="1" x14ac:dyDescent="0.35">
      <c r="A1867" s="90"/>
      <c r="B1867" s="91"/>
      <c r="C1867" s="92"/>
      <c r="D1867" s="93"/>
      <c r="E1867" s="94" t="s">
        <v>11</v>
      </c>
      <c r="F1867" s="94" t="s">
        <v>10</v>
      </c>
      <c r="G1867" s="89"/>
    </row>
    <row r="1868" spans="1:14" ht="15" thickTop="1" x14ac:dyDescent="0.3">
      <c r="A1868" s="95"/>
      <c r="B1868" s="95"/>
      <c r="C1868" s="126"/>
      <c r="D1868" s="127"/>
      <c r="E1868" s="134"/>
      <c r="F1868" s="134"/>
      <c r="G1868" s="100"/>
    </row>
    <row r="1869" spans="1:14" x14ac:dyDescent="0.3">
      <c r="A1869" s="102"/>
      <c r="B1869" s="102"/>
      <c r="C1869" s="108"/>
      <c r="D1869" s="109"/>
      <c r="E1869" s="100"/>
      <c r="F1869" s="100"/>
      <c r="G1869" s="100"/>
    </row>
    <row r="1870" spans="1:14" x14ac:dyDescent="0.3">
      <c r="A1870" s="114"/>
      <c r="B1870" s="114"/>
      <c r="C1870" s="115"/>
      <c r="D1870" s="116" t="s">
        <v>165</v>
      </c>
      <c r="E1870" s="117"/>
      <c r="F1870" s="132"/>
      <c r="G1870" s="113">
        <f>SUM(F1868:F1869)</f>
        <v>0</v>
      </c>
      <c r="H1870" s="91"/>
    </row>
    <row r="1871" spans="1:14" x14ac:dyDescent="0.3">
      <c r="C1871" s="80"/>
      <c r="D1871" s="125"/>
      <c r="E1871" s="78"/>
      <c r="F1871" s="78"/>
      <c r="G1871" s="117"/>
    </row>
    <row r="1872" spans="1:14" ht="15" thickBot="1" x14ac:dyDescent="0.35">
      <c r="A1872" s="79" t="s">
        <v>166</v>
      </c>
      <c r="C1872" s="80"/>
      <c r="D1872" s="125"/>
      <c r="E1872" s="78"/>
      <c r="F1872" s="78"/>
      <c r="G1872" s="78"/>
    </row>
    <row r="1873" spans="1:14" ht="15" thickTop="1" x14ac:dyDescent="0.3">
      <c r="A1873" s="84" t="s">
        <v>3</v>
      </c>
      <c r="B1873" s="85" t="s">
        <v>135</v>
      </c>
      <c r="C1873" s="86" t="s">
        <v>5</v>
      </c>
      <c r="D1873" s="87" t="s">
        <v>6</v>
      </c>
      <c r="E1873" s="88" t="s">
        <v>28</v>
      </c>
      <c r="F1873" s="88" t="s">
        <v>28</v>
      </c>
      <c r="G1873" s="89"/>
    </row>
    <row r="1874" spans="1:14" ht="15" thickBot="1" x14ac:dyDescent="0.35">
      <c r="A1874" s="90"/>
      <c r="B1874" s="91"/>
      <c r="C1874" s="92"/>
      <c r="D1874" s="93"/>
      <c r="E1874" s="94" t="s">
        <v>11</v>
      </c>
      <c r="F1874" s="94" t="s">
        <v>10</v>
      </c>
      <c r="G1874" s="89"/>
    </row>
    <row r="1875" spans="1:14" ht="15" thickTop="1" x14ac:dyDescent="0.3">
      <c r="A1875" s="95"/>
      <c r="B1875" s="95" t="s">
        <v>167</v>
      </c>
      <c r="C1875" s="126" t="s">
        <v>168</v>
      </c>
      <c r="D1875" s="127">
        <v>0.2</v>
      </c>
      <c r="E1875" s="134">
        <f>$F$22</f>
        <v>1238.96</v>
      </c>
      <c r="F1875" s="134">
        <f>ROUND(D1875*E1875,2)</f>
        <v>247.79</v>
      </c>
      <c r="G1875" s="100"/>
    </row>
    <row r="1876" spans="1:14" x14ac:dyDescent="0.3">
      <c r="A1876" s="102"/>
      <c r="B1876" s="102" t="s">
        <v>169</v>
      </c>
      <c r="C1876" s="108" t="s">
        <v>168</v>
      </c>
      <c r="D1876" s="109">
        <v>0.6</v>
      </c>
      <c r="E1876" s="100">
        <f>$F$39</f>
        <v>386.38</v>
      </c>
      <c r="F1876" s="100">
        <f>ROUND(D1876*E1876,2)</f>
        <v>231.83</v>
      </c>
      <c r="G1876" s="100"/>
    </row>
    <row r="1877" spans="1:14" x14ac:dyDescent="0.3">
      <c r="A1877" s="114"/>
      <c r="B1877" s="114"/>
      <c r="C1877" s="115"/>
      <c r="D1877" s="116" t="s">
        <v>170</v>
      </c>
      <c r="E1877" s="117"/>
      <c r="F1877" s="132"/>
      <c r="G1877" s="113">
        <f>SUM(F1875:F1876)</f>
        <v>479.62</v>
      </c>
      <c r="H1877" s="91"/>
    </row>
    <row r="1878" spans="1:14" x14ac:dyDescent="0.3">
      <c r="C1878" s="80"/>
      <c r="D1878" s="125"/>
      <c r="E1878" s="78"/>
      <c r="F1878" s="78"/>
      <c r="G1878" s="117"/>
    </row>
    <row r="1879" spans="1:14" ht="15" thickBot="1" x14ac:dyDescent="0.35">
      <c r="A1879" s="79" t="s">
        <v>187</v>
      </c>
      <c r="C1879" s="80"/>
      <c r="D1879" s="125"/>
      <c r="E1879" s="78"/>
      <c r="F1879" s="78"/>
      <c r="G1879" s="78"/>
      <c r="M1879" s="77"/>
    </row>
    <row r="1880" spans="1:14" ht="15" thickTop="1" x14ac:dyDescent="0.3">
      <c r="A1880" s="84" t="s">
        <v>3</v>
      </c>
      <c r="B1880" s="85" t="s">
        <v>135</v>
      </c>
      <c r="C1880" s="86" t="s">
        <v>5</v>
      </c>
      <c r="D1880" s="87" t="s">
        <v>6</v>
      </c>
      <c r="E1880" s="88" t="s">
        <v>28</v>
      </c>
      <c r="F1880" s="88" t="s">
        <v>28</v>
      </c>
      <c r="G1880" s="89"/>
      <c r="M1880" s="77"/>
    </row>
    <row r="1881" spans="1:14" ht="15" thickBot="1" x14ac:dyDescent="0.35">
      <c r="A1881" s="90"/>
      <c r="B1881" s="91"/>
      <c r="C1881" s="92"/>
      <c r="D1881" s="93"/>
      <c r="E1881" s="94" t="s">
        <v>11</v>
      </c>
      <c r="F1881" s="94" t="s">
        <v>10</v>
      </c>
      <c r="G1881" s="89"/>
      <c r="M1881" s="77"/>
    </row>
    <row r="1882" spans="1:14" ht="15" thickTop="1" x14ac:dyDescent="0.3">
      <c r="A1882" s="95"/>
      <c r="B1882" s="95" t="s">
        <v>162</v>
      </c>
      <c r="C1882" s="126" t="s">
        <v>163</v>
      </c>
      <c r="D1882" s="127">
        <v>0</v>
      </c>
      <c r="E1882" s="128">
        <v>40</v>
      </c>
      <c r="F1882" s="129">
        <f>ROUND(D1882*E1882,2)</f>
        <v>0</v>
      </c>
      <c r="G1882" s="100"/>
      <c r="M1882" s="77"/>
    </row>
    <row r="1883" spans="1:14" x14ac:dyDescent="0.3">
      <c r="A1883" s="102"/>
      <c r="B1883" s="102" t="s">
        <v>164</v>
      </c>
      <c r="C1883" s="108" t="s">
        <v>163</v>
      </c>
      <c r="D1883" s="109">
        <v>0.02</v>
      </c>
      <c r="E1883" s="130">
        <v>80</v>
      </c>
      <c r="F1883" s="131">
        <f>ROUND(D1883*E1883,2)</f>
        <v>1.6</v>
      </c>
      <c r="G1883" s="100"/>
      <c r="M1883" s="77"/>
    </row>
    <row r="1884" spans="1:14" ht="13.2" x14ac:dyDescent="0.25">
      <c r="A1884" s="102"/>
      <c r="B1884" s="102"/>
      <c r="C1884" s="108"/>
      <c r="D1884" s="109"/>
      <c r="E1884" s="130"/>
      <c r="F1884" s="130"/>
      <c r="G1884" s="100"/>
      <c r="J1884" s="119"/>
      <c r="K1884" s="120"/>
      <c r="L1884" s="121"/>
      <c r="M1884" s="121"/>
    </row>
    <row r="1885" spans="1:14" ht="15" thickBot="1" x14ac:dyDescent="0.35">
      <c r="A1885" s="114"/>
      <c r="B1885" s="114"/>
      <c r="C1885" s="115"/>
      <c r="D1885" s="116" t="s">
        <v>165</v>
      </c>
      <c r="E1885" s="117"/>
      <c r="F1885" s="132"/>
      <c r="G1885" s="113">
        <f>SUM(F1882:F1884)</f>
        <v>1.6</v>
      </c>
      <c r="H1885" s="91"/>
      <c r="J1885" s="61"/>
      <c r="L1885" s="122"/>
      <c r="M1885" s="77"/>
      <c r="N1885" s="133"/>
    </row>
    <row r="1886" spans="1:14" ht="15" thickBot="1" x14ac:dyDescent="0.35">
      <c r="C1886" s="80"/>
      <c r="D1886" s="125"/>
      <c r="E1886" s="78"/>
      <c r="F1886" s="78"/>
      <c r="G1886" s="117"/>
      <c r="M1886" s="123"/>
      <c r="N1886" s="124"/>
    </row>
    <row r="1887" spans="1:14" ht="15.6" thickTop="1" thickBot="1" x14ac:dyDescent="0.35">
      <c r="C1887" s="80"/>
      <c r="D1887" s="125" t="s">
        <v>171</v>
      </c>
      <c r="E1887" s="78"/>
      <c r="F1887" s="78"/>
      <c r="G1887" s="135">
        <f>+G1870+G1877+G1885</f>
        <v>481.22</v>
      </c>
      <c r="H1887" s="136"/>
    </row>
    <row r="1888" spans="1:14" ht="15" thickTop="1" x14ac:dyDescent="0.3">
      <c r="C1888" s="80"/>
      <c r="D1888" s="125"/>
      <c r="E1888" s="78"/>
      <c r="F1888" s="78"/>
      <c r="G1888" s="137"/>
    </row>
    <row r="1889" spans="1:8" ht="15.6" x14ac:dyDescent="0.3">
      <c r="A1889" s="79" t="s">
        <v>128</v>
      </c>
      <c r="B1889" s="81" t="s">
        <v>342</v>
      </c>
      <c r="C1889" s="80"/>
      <c r="D1889" s="125"/>
      <c r="E1889" s="78"/>
      <c r="F1889" s="78"/>
      <c r="G1889" s="78"/>
    </row>
    <row r="1890" spans="1:8" ht="15.6" x14ac:dyDescent="0.3">
      <c r="A1890" s="79" t="s">
        <v>130</v>
      </c>
      <c r="B1890" s="81" t="s">
        <v>204</v>
      </c>
      <c r="C1890" s="80"/>
      <c r="D1890" s="125"/>
      <c r="E1890" s="78"/>
      <c r="F1890" s="78"/>
      <c r="G1890" s="78"/>
    </row>
    <row r="1891" spans="1:8" x14ac:dyDescent="0.3">
      <c r="C1891" s="80"/>
      <c r="D1891" s="125"/>
      <c r="E1891" s="78"/>
      <c r="F1891" s="78"/>
      <c r="G1891" s="78"/>
    </row>
    <row r="1892" spans="1:8" ht="15" thickBot="1" x14ac:dyDescent="0.35">
      <c r="A1892" s="79" t="s">
        <v>161</v>
      </c>
      <c r="C1892" s="80"/>
      <c r="D1892" s="125"/>
      <c r="E1892" s="78"/>
      <c r="F1892" s="78"/>
      <c r="G1892" s="78"/>
    </row>
    <row r="1893" spans="1:8" ht="15" thickTop="1" x14ac:dyDescent="0.3">
      <c r="A1893" s="84" t="s">
        <v>3</v>
      </c>
      <c r="B1893" s="85" t="s">
        <v>135</v>
      </c>
      <c r="C1893" s="86" t="s">
        <v>5</v>
      </c>
      <c r="D1893" s="87" t="s">
        <v>6</v>
      </c>
      <c r="E1893" s="88" t="s">
        <v>28</v>
      </c>
      <c r="F1893" s="88" t="s">
        <v>28</v>
      </c>
      <c r="G1893" s="89"/>
    </row>
    <row r="1894" spans="1:8" ht="15" thickBot="1" x14ac:dyDescent="0.35">
      <c r="A1894" s="90"/>
      <c r="B1894" s="91"/>
      <c r="C1894" s="92"/>
      <c r="D1894" s="93"/>
      <c r="E1894" s="94" t="s">
        <v>11</v>
      </c>
      <c r="F1894" s="94" t="s">
        <v>10</v>
      </c>
      <c r="G1894" s="89"/>
    </row>
    <row r="1895" spans="1:8" ht="15" thickTop="1" x14ac:dyDescent="0.3">
      <c r="A1895" s="95"/>
      <c r="B1895" s="95"/>
      <c r="C1895" s="126"/>
      <c r="D1895" s="127"/>
      <c r="E1895" s="134"/>
      <c r="F1895" s="134"/>
      <c r="G1895" s="100"/>
    </row>
    <row r="1896" spans="1:8" x14ac:dyDescent="0.3">
      <c r="A1896" s="102"/>
      <c r="B1896" s="102"/>
      <c r="C1896" s="108"/>
      <c r="D1896" s="109"/>
      <c r="E1896" s="100"/>
      <c r="F1896" s="100"/>
      <c r="G1896" s="100"/>
    </row>
    <row r="1897" spans="1:8" x14ac:dyDescent="0.3">
      <c r="A1897" s="114"/>
      <c r="B1897" s="114"/>
      <c r="C1897" s="115"/>
      <c r="D1897" s="116" t="s">
        <v>165</v>
      </c>
      <c r="E1897" s="117"/>
      <c r="F1897" s="132"/>
      <c r="G1897" s="113">
        <f>SUM(F1895:F1896)</f>
        <v>0</v>
      </c>
      <c r="H1897" s="91"/>
    </row>
    <row r="1898" spans="1:8" x14ac:dyDescent="0.3">
      <c r="C1898" s="80"/>
      <c r="D1898" s="125"/>
      <c r="E1898" s="78"/>
      <c r="F1898" s="78"/>
      <c r="G1898" s="117"/>
    </row>
    <row r="1899" spans="1:8" ht="15" thickBot="1" x14ac:dyDescent="0.35">
      <c r="A1899" s="79" t="s">
        <v>166</v>
      </c>
      <c r="C1899" s="80"/>
      <c r="D1899" s="125"/>
      <c r="E1899" s="78"/>
      <c r="F1899" s="78"/>
      <c r="G1899" s="78"/>
    </row>
    <row r="1900" spans="1:8" ht="15" thickTop="1" x14ac:dyDescent="0.3">
      <c r="A1900" s="84" t="s">
        <v>3</v>
      </c>
      <c r="B1900" s="85" t="s">
        <v>135</v>
      </c>
      <c r="C1900" s="86" t="s">
        <v>5</v>
      </c>
      <c r="D1900" s="87" t="s">
        <v>6</v>
      </c>
      <c r="E1900" s="88" t="s">
        <v>28</v>
      </c>
      <c r="F1900" s="88" t="s">
        <v>28</v>
      </c>
      <c r="G1900" s="89"/>
    </row>
    <row r="1901" spans="1:8" ht="15" thickBot="1" x14ac:dyDescent="0.35">
      <c r="A1901" s="90"/>
      <c r="B1901" s="91"/>
      <c r="C1901" s="92"/>
      <c r="D1901" s="93"/>
      <c r="E1901" s="94" t="s">
        <v>11</v>
      </c>
      <c r="F1901" s="94" t="s">
        <v>10</v>
      </c>
      <c r="G1901" s="89"/>
    </row>
    <row r="1902" spans="1:8" ht="15" thickTop="1" x14ac:dyDescent="0.3">
      <c r="A1902" s="95"/>
      <c r="B1902" s="95" t="s">
        <v>167</v>
      </c>
      <c r="C1902" s="126" t="s">
        <v>168</v>
      </c>
      <c r="D1902" s="127">
        <v>0</v>
      </c>
      <c r="E1902" s="134">
        <f>$F$22</f>
        <v>1238.96</v>
      </c>
      <c r="F1902" s="134">
        <f>ROUND(D1902*E1902,2)</f>
        <v>0</v>
      </c>
      <c r="G1902" s="100"/>
    </row>
    <row r="1903" spans="1:8" x14ac:dyDescent="0.3">
      <c r="A1903" s="102"/>
      <c r="B1903" s="102" t="s">
        <v>169</v>
      </c>
      <c r="C1903" s="108" t="s">
        <v>168</v>
      </c>
      <c r="D1903" s="109">
        <v>0.8</v>
      </c>
      <c r="E1903" s="100">
        <f>$F$39</f>
        <v>386.38</v>
      </c>
      <c r="F1903" s="100">
        <f>ROUND(D1903*E1903,2)</f>
        <v>309.10000000000002</v>
      </c>
      <c r="G1903" s="100"/>
    </row>
    <row r="1904" spans="1:8" x14ac:dyDescent="0.3">
      <c r="A1904" s="114"/>
      <c r="B1904" s="114"/>
      <c r="C1904" s="115"/>
      <c r="D1904" s="116" t="s">
        <v>170</v>
      </c>
      <c r="E1904" s="117"/>
      <c r="F1904" s="132"/>
      <c r="G1904" s="113">
        <f>SUM(F1902:F1903)</f>
        <v>309.10000000000002</v>
      </c>
      <c r="H1904" s="91"/>
    </row>
    <row r="1905" spans="1:14" x14ac:dyDescent="0.3">
      <c r="C1905" s="80"/>
      <c r="D1905" s="125"/>
      <c r="E1905" s="78"/>
      <c r="F1905" s="78"/>
      <c r="G1905" s="117"/>
    </row>
    <row r="1906" spans="1:14" ht="15" thickBot="1" x14ac:dyDescent="0.35">
      <c r="A1906" s="79" t="s">
        <v>187</v>
      </c>
      <c r="C1906" s="80"/>
      <c r="D1906" s="125"/>
      <c r="E1906" s="78"/>
      <c r="F1906" s="78"/>
      <c r="G1906" s="78"/>
      <c r="M1906" s="77"/>
    </row>
    <row r="1907" spans="1:14" ht="15" thickTop="1" x14ac:dyDescent="0.3">
      <c r="A1907" s="84" t="s">
        <v>3</v>
      </c>
      <c r="B1907" s="85" t="s">
        <v>135</v>
      </c>
      <c r="C1907" s="86" t="s">
        <v>5</v>
      </c>
      <c r="D1907" s="87" t="s">
        <v>6</v>
      </c>
      <c r="E1907" s="88" t="s">
        <v>28</v>
      </c>
      <c r="F1907" s="88" t="s">
        <v>28</v>
      </c>
      <c r="G1907" s="89"/>
      <c r="M1907" s="77"/>
    </row>
    <row r="1908" spans="1:14" ht="15" thickBot="1" x14ac:dyDescent="0.35">
      <c r="A1908" s="90"/>
      <c r="B1908" s="91"/>
      <c r="C1908" s="92"/>
      <c r="D1908" s="93"/>
      <c r="E1908" s="94" t="s">
        <v>11</v>
      </c>
      <c r="F1908" s="94" t="s">
        <v>10</v>
      </c>
      <c r="G1908" s="89"/>
      <c r="M1908" s="77"/>
    </row>
    <row r="1909" spans="1:14" ht="15" thickTop="1" x14ac:dyDescent="0.3">
      <c r="A1909" s="95"/>
      <c r="B1909" s="95" t="s">
        <v>162</v>
      </c>
      <c r="C1909" s="126" t="s">
        <v>163</v>
      </c>
      <c r="D1909" s="127">
        <v>0</v>
      </c>
      <c r="E1909" s="128">
        <v>40</v>
      </c>
      <c r="F1909" s="129">
        <f>ROUND(D1909*E1909,2)</f>
        <v>0</v>
      </c>
      <c r="G1909" s="100"/>
      <c r="M1909" s="77"/>
    </row>
    <row r="1910" spans="1:14" x14ac:dyDescent="0.3">
      <c r="A1910" s="102"/>
      <c r="B1910" s="102" t="s">
        <v>164</v>
      </c>
      <c r="C1910" s="108" t="s">
        <v>163</v>
      </c>
      <c r="D1910" s="109">
        <v>0</v>
      </c>
      <c r="E1910" s="130">
        <v>80</v>
      </c>
      <c r="F1910" s="131">
        <f>ROUND(D1910*E1910,2)</f>
        <v>0</v>
      </c>
      <c r="G1910" s="100"/>
      <c r="M1910" s="77"/>
    </row>
    <row r="1911" spans="1:14" ht="13.2" x14ac:dyDescent="0.25">
      <c r="A1911" s="102"/>
      <c r="B1911" s="102"/>
      <c r="C1911" s="108"/>
      <c r="D1911" s="109"/>
      <c r="E1911" s="130"/>
      <c r="F1911" s="130"/>
      <c r="G1911" s="100"/>
      <c r="J1911" s="119"/>
      <c r="K1911" s="120"/>
      <c r="L1911" s="121"/>
      <c r="M1911" s="121"/>
    </row>
    <row r="1912" spans="1:14" ht="15" thickBot="1" x14ac:dyDescent="0.35">
      <c r="A1912" s="114"/>
      <c r="B1912" s="114"/>
      <c r="C1912" s="115"/>
      <c r="D1912" s="116" t="s">
        <v>165</v>
      </c>
      <c r="E1912" s="117"/>
      <c r="F1912" s="132"/>
      <c r="G1912" s="113">
        <f>SUM(F1909:F1911)</f>
        <v>0</v>
      </c>
      <c r="H1912" s="91"/>
      <c r="J1912" s="61"/>
      <c r="L1912" s="122"/>
      <c r="M1912" s="77"/>
      <c r="N1912" s="133"/>
    </row>
    <row r="1913" spans="1:14" ht="15" thickBot="1" x14ac:dyDescent="0.35">
      <c r="C1913" s="80"/>
      <c r="D1913" s="125"/>
      <c r="E1913" s="78"/>
      <c r="F1913" s="78"/>
      <c r="G1913" s="117"/>
      <c r="M1913" s="123"/>
      <c r="N1913" s="124"/>
    </row>
    <row r="1914" spans="1:14" ht="15.6" thickTop="1" thickBot="1" x14ac:dyDescent="0.35">
      <c r="C1914" s="80"/>
      <c r="D1914" s="125" t="s">
        <v>171</v>
      </c>
      <c r="E1914" s="78"/>
      <c r="F1914" s="78"/>
      <c r="G1914" s="135">
        <f>+G1897+G1904+G1912</f>
        <v>309.10000000000002</v>
      </c>
      <c r="H1914" s="136"/>
    </row>
    <row r="1915" spans="1:14" ht="15" thickTop="1" x14ac:dyDescent="0.3">
      <c r="C1915" s="80"/>
      <c r="D1915" s="125"/>
      <c r="E1915" s="78"/>
      <c r="F1915" s="78"/>
      <c r="G1915" s="137"/>
    </row>
    <row r="1916" spans="1:14" ht="15.6" x14ac:dyDescent="0.3">
      <c r="A1916" s="79" t="s">
        <v>128</v>
      </c>
      <c r="B1916" s="81" t="s">
        <v>343</v>
      </c>
      <c r="C1916" s="80"/>
      <c r="D1916" s="125"/>
      <c r="E1916" s="78"/>
      <c r="F1916" s="78"/>
      <c r="G1916" s="78"/>
    </row>
    <row r="1917" spans="1:14" ht="15.6" x14ac:dyDescent="0.3">
      <c r="A1917" s="79" t="s">
        <v>130</v>
      </c>
      <c r="B1917" s="81" t="s">
        <v>185</v>
      </c>
      <c r="C1917" s="80"/>
      <c r="D1917" s="125"/>
      <c r="E1917" s="78"/>
      <c r="F1917" s="78"/>
      <c r="G1917" s="78"/>
    </row>
    <row r="1918" spans="1:14" x14ac:dyDescent="0.3">
      <c r="C1918" s="80"/>
      <c r="D1918" s="125"/>
      <c r="E1918" s="78"/>
      <c r="F1918" s="78"/>
      <c r="G1918" s="78"/>
    </row>
    <row r="1919" spans="1:14" ht="15" thickBot="1" x14ac:dyDescent="0.35">
      <c r="A1919" s="79" t="s">
        <v>161</v>
      </c>
      <c r="C1919" s="80"/>
      <c r="D1919" s="125"/>
      <c r="E1919" s="78"/>
      <c r="F1919" s="78"/>
      <c r="G1919" s="78"/>
    </row>
    <row r="1920" spans="1:14" ht="15" thickTop="1" x14ac:dyDescent="0.3">
      <c r="A1920" s="84" t="s">
        <v>3</v>
      </c>
      <c r="B1920" s="85" t="s">
        <v>135</v>
      </c>
      <c r="C1920" s="86" t="s">
        <v>5</v>
      </c>
      <c r="D1920" s="87" t="s">
        <v>6</v>
      </c>
      <c r="E1920" s="88" t="s">
        <v>28</v>
      </c>
      <c r="F1920" s="88" t="s">
        <v>28</v>
      </c>
      <c r="G1920" s="89"/>
    </row>
    <row r="1921" spans="1:13" ht="15" thickBot="1" x14ac:dyDescent="0.35">
      <c r="A1921" s="90"/>
      <c r="B1921" s="91"/>
      <c r="C1921" s="92"/>
      <c r="D1921" s="93"/>
      <c r="E1921" s="94" t="s">
        <v>11</v>
      </c>
      <c r="F1921" s="94" t="s">
        <v>10</v>
      </c>
      <c r="G1921" s="89"/>
    </row>
    <row r="1922" spans="1:13" ht="15" thickTop="1" x14ac:dyDescent="0.3">
      <c r="A1922" s="95"/>
      <c r="B1922" s="95"/>
      <c r="C1922" s="126"/>
      <c r="D1922" s="127"/>
      <c r="E1922" s="134"/>
      <c r="F1922" s="134"/>
      <c r="G1922" s="100"/>
    </row>
    <row r="1923" spans="1:13" x14ac:dyDescent="0.3">
      <c r="A1923" s="102"/>
      <c r="B1923" s="102"/>
      <c r="C1923" s="108"/>
      <c r="D1923" s="109"/>
      <c r="E1923" s="100"/>
      <c r="F1923" s="100"/>
      <c r="G1923" s="100"/>
    </row>
    <row r="1924" spans="1:13" x14ac:dyDescent="0.3">
      <c r="A1924" s="114"/>
      <c r="B1924" s="114"/>
      <c r="C1924" s="115"/>
      <c r="D1924" s="116" t="s">
        <v>165</v>
      </c>
      <c r="E1924" s="117"/>
      <c r="F1924" s="132"/>
      <c r="G1924" s="113">
        <f>SUM(F1922:F1923)</f>
        <v>0</v>
      </c>
      <c r="H1924" s="91"/>
    </row>
    <row r="1925" spans="1:13" x14ac:dyDescent="0.3">
      <c r="C1925" s="80"/>
      <c r="D1925" s="125"/>
      <c r="E1925" s="78"/>
      <c r="F1925" s="78"/>
      <c r="G1925" s="117"/>
    </row>
    <row r="1926" spans="1:13" ht="15" thickBot="1" x14ac:dyDescent="0.35">
      <c r="A1926" s="79" t="s">
        <v>166</v>
      </c>
      <c r="C1926" s="80"/>
      <c r="D1926" s="125"/>
      <c r="E1926" s="78"/>
      <c r="F1926" s="78"/>
      <c r="G1926" s="78"/>
    </row>
    <row r="1927" spans="1:13" ht="15" thickTop="1" x14ac:dyDescent="0.3">
      <c r="A1927" s="84" t="s">
        <v>3</v>
      </c>
      <c r="B1927" s="85" t="s">
        <v>135</v>
      </c>
      <c r="C1927" s="86" t="s">
        <v>5</v>
      </c>
      <c r="D1927" s="87" t="s">
        <v>6</v>
      </c>
      <c r="E1927" s="88" t="s">
        <v>28</v>
      </c>
      <c r="F1927" s="88" t="s">
        <v>28</v>
      </c>
      <c r="G1927" s="89"/>
    </row>
    <row r="1928" spans="1:13" ht="15" thickBot="1" x14ac:dyDescent="0.35">
      <c r="A1928" s="90"/>
      <c r="B1928" s="91"/>
      <c r="C1928" s="92"/>
      <c r="D1928" s="93"/>
      <c r="E1928" s="94" t="s">
        <v>11</v>
      </c>
      <c r="F1928" s="94" t="s">
        <v>10</v>
      </c>
      <c r="G1928" s="89"/>
    </row>
    <row r="1929" spans="1:13" ht="15" thickTop="1" x14ac:dyDescent="0.3">
      <c r="A1929" s="95"/>
      <c r="B1929" s="95" t="s">
        <v>167</v>
      </c>
      <c r="C1929" s="126" t="s">
        <v>168</v>
      </c>
      <c r="D1929" s="127">
        <v>1</v>
      </c>
      <c r="E1929" s="134">
        <f>$F$22</f>
        <v>1238.96</v>
      </c>
      <c r="F1929" s="134">
        <f>ROUND(D1929*E1929,2)</f>
        <v>1238.96</v>
      </c>
      <c r="G1929" s="100"/>
    </row>
    <row r="1930" spans="1:13" x14ac:dyDescent="0.3">
      <c r="A1930" s="102"/>
      <c r="B1930" s="102" t="s">
        <v>169</v>
      </c>
      <c r="C1930" s="108" t="s">
        <v>168</v>
      </c>
      <c r="D1930" s="109">
        <v>2</v>
      </c>
      <c r="E1930" s="100">
        <f>$F$39</f>
        <v>386.38</v>
      </c>
      <c r="F1930" s="100">
        <f>ROUND(D1930*E1930,2)</f>
        <v>772.76</v>
      </c>
      <c r="G1930" s="100"/>
    </row>
    <row r="1931" spans="1:13" x14ac:dyDescent="0.3">
      <c r="A1931" s="114"/>
      <c r="B1931" s="114"/>
      <c r="C1931" s="115"/>
      <c r="D1931" s="116" t="s">
        <v>170</v>
      </c>
      <c r="E1931" s="117"/>
      <c r="F1931" s="132"/>
      <c r="G1931" s="113">
        <f>SUM(F1929:F1930)</f>
        <v>2011.72</v>
      </c>
      <c r="H1931" s="91"/>
    </row>
    <row r="1932" spans="1:13" x14ac:dyDescent="0.3">
      <c r="C1932" s="80"/>
      <c r="D1932" s="125"/>
      <c r="E1932" s="78"/>
      <c r="F1932" s="78"/>
      <c r="G1932" s="117"/>
    </row>
    <row r="1933" spans="1:13" ht="15" thickBot="1" x14ac:dyDescent="0.35">
      <c r="A1933" s="79" t="s">
        <v>187</v>
      </c>
      <c r="C1933" s="80"/>
      <c r="D1933" s="125"/>
      <c r="E1933" s="78"/>
      <c r="F1933" s="78"/>
      <c r="G1933" s="78"/>
      <c r="M1933" s="77"/>
    </row>
    <row r="1934" spans="1:13" ht="15" thickTop="1" x14ac:dyDescent="0.3">
      <c r="A1934" s="84" t="s">
        <v>3</v>
      </c>
      <c r="B1934" s="85" t="s">
        <v>135</v>
      </c>
      <c r="C1934" s="86" t="s">
        <v>5</v>
      </c>
      <c r="D1934" s="87" t="s">
        <v>6</v>
      </c>
      <c r="E1934" s="88" t="s">
        <v>28</v>
      </c>
      <c r="F1934" s="88" t="s">
        <v>28</v>
      </c>
      <c r="G1934" s="89"/>
      <c r="M1934" s="77"/>
    </row>
    <row r="1935" spans="1:13" ht="15" thickBot="1" x14ac:dyDescent="0.35">
      <c r="A1935" s="90"/>
      <c r="B1935" s="91"/>
      <c r="C1935" s="92"/>
      <c r="D1935" s="93"/>
      <c r="E1935" s="94" t="s">
        <v>11</v>
      </c>
      <c r="F1935" s="94" t="s">
        <v>10</v>
      </c>
      <c r="G1935" s="89"/>
      <c r="M1935" s="77"/>
    </row>
    <row r="1936" spans="1:13" ht="15" thickTop="1" x14ac:dyDescent="0.3">
      <c r="A1936" s="95"/>
      <c r="B1936" s="95" t="s">
        <v>162</v>
      </c>
      <c r="C1936" s="126" t="s">
        <v>163</v>
      </c>
      <c r="D1936" s="127">
        <v>0.1</v>
      </c>
      <c r="E1936" s="128">
        <v>40</v>
      </c>
      <c r="F1936" s="129">
        <f>ROUND(D1936*E1936,2)</f>
        <v>4</v>
      </c>
      <c r="G1936" s="100"/>
      <c r="M1936" s="77"/>
    </row>
    <row r="1937" spans="1:17" x14ac:dyDescent="0.3">
      <c r="A1937" s="102"/>
      <c r="B1937" s="102" t="s">
        <v>164</v>
      </c>
      <c r="C1937" s="108" t="s">
        <v>163</v>
      </c>
      <c r="D1937" s="109">
        <v>0.2</v>
      </c>
      <c r="E1937" s="130">
        <v>80</v>
      </c>
      <c r="F1937" s="131">
        <f>ROUND(D1937*E1937,2)</f>
        <v>16</v>
      </c>
      <c r="G1937" s="100"/>
      <c r="M1937" s="77"/>
    </row>
    <row r="1938" spans="1:17" ht="13.2" x14ac:dyDescent="0.25">
      <c r="A1938" s="102"/>
      <c r="B1938" s="102"/>
      <c r="C1938" s="108"/>
      <c r="D1938" s="109"/>
      <c r="E1938" s="130"/>
      <c r="F1938" s="130"/>
      <c r="G1938" s="100"/>
      <c r="J1938" s="119"/>
      <c r="K1938" s="120"/>
      <c r="L1938" s="121"/>
      <c r="M1938" s="121"/>
    </row>
    <row r="1939" spans="1:17" ht="15" thickBot="1" x14ac:dyDescent="0.35">
      <c r="A1939" s="114"/>
      <c r="B1939" s="114"/>
      <c r="C1939" s="115"/>
      <c r="D1939" s="116" t="s">
        <v>165</v>
      </c>
      <c r="E1939" s="117"/>
      <c r="F1939" s="132"/>
      <c r="G1939" s="113">
        <f>SUM(F1936:F1938)</f>
        <v>20</v>
      </c>
      <c r="H1939" s="91"/>
      <c r="J1939" s="61"/>
      <c r="L1939" s="122"/>
      <c r="M1939" s="77"/>
      <c r="N1939" s="133"/>
    </row>
    <row r="1940" spans="1:17" ht="15" thickBot="1" x14ac:dyDescent="0.35">
      <c r="C1940" s="80"/>
      <c r="D1940" s="125"/>
      <c r="E1940" s="78"/>
      <c r="F1940" s="78"/>
      <c r="G1940" s="117"/>
      <c r="M1940" s="123"/>
      <c r="N1940" s="124"/>
    </row>
    <row r="1941" spans="1:17" ht="15.6" thickTop="1" thickBot="1" x14ac:dyDescent="0.35">
      <c r="C1941" s="80"/>
      <c r="D1941" s="125" t="s">
        <v>171</v>
      </c>
      <c r="E1941" s="78"/>
      <c r="F1941" s="78"/>
      <c r="G1941" s="135">
        <f>+G1924+G1931+G1939</f>
        <v>2031.72</v>
      </c>
      <c r="H1941" s="136"/>
    </row>
    <row r="1942" spans="1:17" ht="15" thickTop="1" x14ac:dyDescent="0.3">
      <c r="C1942" s="80"/>
      <c r="D1942" s="125"/>
      <c r="E1942" s="78"/>
      <c r="F1942" s="78"/>
      <c r="G1942" s="137"/>
    </row>
    <row r="1943" spans="1:17" x14ac:dyDescent="0.3">
      <c r="C1943" s="80"/>
      <c r="D1943" s="125"/>
      <c r="E1943" s="78"/>
      <c r="F1943" s="78"/>
      <c r="G1943" s="78"/>
    </row>
    <row r="1944" spans="1:17" x14ac:dyDescent="0.3">
      <c r="H1944" s="203"/>
      <c r="I1944" s="202"/>
      <c r="J1944" s="148"/>
      <c r="K1944" s="203"/>
      <c r="L1944" s="202"/>
      <c r="M1944" s="148"/>
      <c r="N1944" s="204"/>
      <c r="O1944" s="205"/>
      <c r="P1944" s="206"/>
      <c r="Q1944" s="206"/>
    </row>
    <row r="1945" spans="1:17" x14ac:dyDescent="0.3">
      <c r="H1945" s="203"/>
      <c r="I1945" s="202"/>
      <c r="J1945" s="148"/>
      <c r="K1945" s="203"/>
      <c r="L1945" s="202"/>
      <c r="M1945" s="148"/>
      <c r="N1945" s="204"/>
      <c r="O1945" s="205"/>
      <c r="P1945" s="206"/>
      <c r="Q1945" s="206"/>
    </row>
    <row r="1946" spans="1:17" x14ac:dyDescent="0.3">
      <c r="H1946" s="203"/>
      <c r="I1946" s="202"/>
      <c r="J1946" s="148"/>
      <c r="K1946" s="203"/>
      <c r="L1946" s="202"/>
      <c r="M1946" s="148"/>
      <c r="N1946" s="204"/>
      <c r="O1946" s="205"/>
      <c r="P1946" s="206"/>
      <c r="Q1946" s="206"/>
    </row>
    <row r="1947" spans="1:17" x14ac:dyDescent="0.3">
      <c r="H1947" s="203"/>
      <c r="I1947" s="202"/>
      <c r="J1947" s="148"/>
      <c r="K1947" s="203"/>
      <c r="L1947" s="202"/>
      <c r="M1947" s="148"/>
      <c r="N1947" s="204"/>
      <c r="O1947" s="205"/>
      <c r="P1947" s="206"/>
      <c r="Q1947" s="206"/>
    </row>
    <row r="1948" spans="1:17" x14ac:dyDescent="0.3">
      <c r="H1948" s="203"/>
      <c r="I1948" s="202"/>
      <c r="J1948" s="148"/>
      <c r="K1948" s="203"/>
      <c r="L1948" s="202"/>
      <c r="M1948" s="148"/>
      <c r="N1948" s="204"/>
      <c r="O1948" s="205"/>
      <c r="P1948" s="206"/>
      <c r="Q1948" s="206"/>
    </row>
    <row r="1949" spans="1:17" x14ac:dyDescent="0.3">
      <c r="H1949" s="203"/>
      <c r="I1949" s="202"/>
      <c r="J1949" s="148"/>
      <c r="K1949" s="203"/>
      <c r="L1949" s="202"/>
      <c r="M1949" s="148"/>
      <c r="N1949" s="204"/>
      <c r="O1949" s="205"/>
      <c r="P1949" s="206"/>
      <c r="Q1949" s="206"/>
    </row>
    <row r="1950" spans="1:17" x14ac:dyDescent="0.3">
      <c r="H1950" s="203"/>
      <c r="I1950" s="202"/>
      <c r="J1950" s="148"/>
      <c r="K1950" s="203"/>
      <c r="L1950" s="202"/>
      <c r="M1950" s="148"/>
      <c r="N1950" s="204"/>
      <c r="O1950" s="205"/>
      <c r="P1950" s="206"/>
      <c r="Q1950" s="206"/>
    </row>
    <row r="1951" spans="1:17" x14ac:dyDescent="0.3">
      <c r="H1951" s="203"/>
      <c r="I1951" s="202"/>
      <c r="J1951" s="148"/>
      <c r="K1951" s="203"/>
      <c r="L1951" s="202"/>
      <c r="M1951" s="148"/>
      <c r="N1951" s="204"/>
      <c r="O1951" s="205"/>
      <c r="P1951" s="206"/>
      <c r="Q1951" s="206"/>
    </row>
    <row r="1952" spans="1:17" x14ac:dyDescent="0.3">
      <c r="H1952" s="203"/>
      <c r="I1952" s="202"/>
      <c r="J1952" s="148"/>
      <c r="K1952" s="203"/>
      <c r="L1952" s="202"/>
      <c r="M1952" s="148"/>
      <c r="N1952" s="204"/>
      <c r="O1952" s="205"/>
      <c r="P1952" s="206"/>
      <c r="Q1952" s="206"/>
    </row>
    <row r="1953" spans="8:17" x14ac:dyDescent="0.3">
      <c r="H1953" s="203"/>
      <c r="I1953" s="202"/>
      <c r="J1953" s="148"/>
      <c r="K1953" s="203"/>
      <c r="L1953" s="202"/>
      <c r="M1953" s="148"/>
      <c r="N1953" s="204"/>
      <c r="O1953" s="205"/>
      <c r="P1953" s="206"/>
      <c r="Q1953" s="206"/>
    </row>
    <row r="1954" spans="8:17" x14ac:dyDescent="0.3">
      <c r="H1954" s="203"/>
      <c r="I1954" s="202"/>
      <c r="J1954" s="148"/>
      <c r="K1954" s="203"/>
      <c r="L1954" s="202"/>
      <c r="M1954" s="148"/>
      <c r="N1954" s="204"/>
      <c r="O1954" s="205"/>
      <c r="P1954" s="206"/>
      <c r="Q1954" s="206"/>
    </row>
    <row r="1955" spans="8:17" x14ac:dyDescent="0.3">
      <c r="H1955" s="203"/>
      <c r="I1955" s="202"/>
      <c r="J1955" s="148"/>
      <c r="K1955" s="203"/>
      <c r="L1955" s="202"/>
      <c r="M1955" s="148"/>
      <c r="N1955" s="204"/>
      <c r="O1955" s="205"/>
      <c r="P1955" s="206"/>
      <c r="Q1955" s="206"/>
    </row>
    <row r="1956" spans="8:17" x14ac:dyDescent="0.3">
      <c r="H1956" s="203"/>
      <c r="I1956" s="202"/>
      <c r="J1956" s="148"/>
      <c r="K1956" s="203"/>
      <c r="L1956" s="202"/>
      <c r="M1956" s="148"/>
      <c r="N1956" s="204"/>
      <c r="O1956" s="205"/>
      <c r="P1956" s="206"/>
      <c r="Q1956" s="206"/>
    </row>
    <row r="1957" spans="8:17" x14ac:dyDescent="0.3">
      <c r="H1957" s="203"/>
      <c r="I1957" s="202"/>
      <c r="J1957" s="148"/>
      <c r="K1957" s="203"/>
      <c r="L1957" s="202"/>
      <c r="M1957" s="148"/>
      <c r="N1957" s="204"/>
      <c r="O1957" s="205"/>
      <c r="P1957" s="206"/>
      <c r="Q1957" s="206"/>
    </row>
    <row r="1958" spans="8:17" x14ac:dyDescent="0.3">
      <c r="H1958" s="203"/>
      <c r="I1958" s="202"/>
      <c r="J1958" s="148"/>
      <c r="K1958" s="203"/>
      <c r="L1958" s="202"/>
      <c r="M1958" s="148"/>
      <c r="N1958" s="204"/>
      <c r="O1958" s="205"/>
      <c r="P1958" s="206"/>
      <c r="Q1958" s="206"/>
    </row>
    <row r="1959" spans="8:17" x14ac:dyDescent="0.3">
      <c r="H1959" s="203"/>
      <c r="I1959" s="202"/>
      <c r="J1959" s="148"/>
      <c r="K1959" s="203"/>
      <c r="L1959" s="202"/>
      <c r="M1959" s="148"/>
      <c r="N1959" s="204"/>
      <c r="O1959" s="205"/>
      <c r="P1959" s="206"/>
      <c r="Q1959" s="206"/>
    </row>
    <row r="1960" spans="8:17" x14ac:dyDescent="0.3">
      <c r="H1960" s="203"/>
      <c r="I1960" s="202"/>
      <c r="J1960" s="148"/>
      <c r="K1960" s="203"/>
      <c r="L1960" s="202"/>
      <c r="M1960" s="148"/>
      <c r="N1960" s="204"/>
      <c r="O1960" s="205"/>
      <c r="P1960" s="206"/>
      <c r="Q1960" s="206"/>
    </row>
    <row r="1961" spans="8:17" x14ac:dyDescent="0.3">
      <c r="H1961" s="203"/>
      <c r="I1961" s="202"/>
      <c r="J1961" s="148"/>
      <c r="K1961" s="203"/>
      <c r="L1961" s="202"/>
      <c r="M1961" s="148"/>
      <c r="N1961" s="204"/>
      <c r="O1961" s="205"/>
      <c r="P1961" s="206"/>
      <c r="Q1961" s="206"/>
    </row>
    <row r="1962" spans="8:17" x14ac:dyDescent="0.3">
      <c r="H1962" s="203"/>
      <c r="I1962" s="202"/>
      <c r="J1962" s="148"/>
      <c r="K1962" s="203"/>
      <c r="L1962" s="202"/>
      <c r="M1962" s="148"/>
      <c r="N1962" s="204"/>
      <c r="O1962" s="205"/>
      <c r="P1962" s="206"/>
      <c r="Q1962" s="206"/>
    </row>
    <row r="1963" spans="8:17" x14ac:dyDescent="0.3">
      <c r="H1963" s="203"/>
      <c r="I1963" s="202"/>
      <c r="J1963" s="148"/>
      <c r="K1963" s="203"/>
      <c r="L1963" s="202"/>
      <c r="M1963" s="148"/>
      <c r="N1963" s="204"/>
      <c r="O1963" s="205"/>
      <c r="P1963" s="206"/>
      <c r="Q1963" s="206"/>
    </row>
    <row r="1964" spans="8:17" x14ac:dyDescent="0.3">
      <c r="H1964" s="203"/>
      <c r="I1964" s="202"/>
      <c r="J1964" s="148"/>
      <c r="K1964" s="203"/>
      <c r="L1964" s="202"/>
      <c r="M1964" s="148"/>
      <c r="N1964" s="204"/>
      <c r="O1964" s="205"/>
      <c r="P1964" s="206"/>
      <c r="Q1964" s="206"/>
    </row>
    <row r="1965" spans="8:17" x14ac:dyDescent="0.3">
      <c r="H1965" s="203"/>
      <c r="I1965" s="202"/>
      <c r="J1965" s="148"/>
      <c r="K1965" s="203"/>
      <c r="L1965" s="202"/>
      <c r="M1965" s="148"/>
      <c r="N1965" s="204"/>
      <c r="O1965" s="205"/>
      <c r="P1965" s="206"/>
      <c r="Q1965" s="206"/>
    </row>
    <row r="1966" spans="8:17" x14ac:dyDescent="0.3">
      <c r="H1966" s="203"/>
      <c r="I1966" s="202"/>
      <c r="J1966" s="148"/>
      <c r="K1966" s="203"/>
      <c r="L1966" s="202"/>
      <c r="M1966" s="148"/>
      <c r="N1966" s="204"/>
      <c r="O1966" s="205"/>
      <c r="P1966" s="206"/>
      <c r="Q1966" s="206"/>
    </row>
    <row r="1967" spans="8:17" x14ac:dyDescent="0.3">
      <c r="H1967" s="203"/>
      <c r="I1967" s="202"/>
      <c r="J1967" s="148"/>
      <c r="K1967" s="203"/>
      <c r="L1967" s="202"/>
      <c r="M1967" s="148"/>
      <c r="N1967" s="204"/>
      <c r="O1967" s="205"/>
      <c r="P1967" s="206"/>
      <c r="Q1967" s="206"/>
    </row>
    <row r="1968" spans="8:17" x14ac:dyDescent="0.3">
      <c r="H1968" s="203"/>
      <c r="I1968" s="202"/>
      <c r="J1968" s="148"/>
      <c r="K1968" s="203"/>
      <c r="L1968" s="202"/>
      <c r="M1968" s="148"/>
      <c r="N1968" s="204"/>
      <c r="O1968" s="205"/>
      <c r="P1968" s="206"/>
      <c r="Q1968" s="206"/>
    </row>
    <row r="1969" spans="8:17" x14ac:dyDescent="0.3">
      <c r="H1969" s="203"/>
      <c r="I1969" s="202"/>
      <c r="J1969" s="148"/>
      <c r="K1969" s="203"/>
      <c r="L1969" s="202"/>
      <c r="M1969" s="148"/>
      <c r="N1969" s="204"/>
      <c r="O1969" s="205"/>
      <c r="P1969" s="206"/>
      <c r="Q1969" s="206"/>
    </row>
    <row r="1970" spans="8:17" x14ac:dyDescent="0.3">
      <c r="H1970" s="203"/>
      <c r="I1970" s="202"/>
      <c r="J1970" s="148"/>
      <c r="K1970" s="203"/>
      <c r="L1970" s="202"/>
      <c r="M1970" s="148"/>
      <c r="N1970" s="204"/>
      <c r="O1970" s="205"/>
      <c r="P1970" s="206"/>
      <c r="Q1970" s="206"/>
    </row>
    <row r="1971" spans="8:17" x14ac:dyDescent="0.3">
      <c r="H1971" s="203"/>
      <c r="I1971" s="202"/>
      <c r="J1971" s="148"/>
      <c r="K1971" s="203"/>
      <c r="L1971" s="202"/>
      <c r="M1971" s="148"/>
      <c r="N1971" s="204"/>
      <c r="O1971" s="205"/>
      <c r="P1971" s="206"/>
      <c r="Q1971" s="206"/>
    </row>
    <row r="1972" spans="8:17" x14ac:dyDescent="0.3">
      <c r="H1972" s="203"/>
      <c r="I1972" s="202"/>
      <c r="J1972" s="148"/>
      <c r="K1972" s="203"/>
      <c r="L1972" s="202"/>
      <c r="M1972" s="148"/>
      <c r="N1972" s="204"/>
      <c r="O1972" s="205"/>
      <c r="P1972" s="206"/>
      <c r="Q1972" s="206"/>
    </row>
    <row r="1973" spans="8:17" x14ac:dyDescent="0.3">
      <c r="H1973" s="203"/>
      <c r="I1973" s="202"/>
      <c r="J1973" s="148"/>
      <c r="K1973" s="203"/>
      <c r="L1973" s="202"/>
      <c r="M1973" s="148"/>
      <c r="N1973" s="204"/>
      <c r="O1973" s="205"/>
      <c r="P1973" s="206"/>
      <c r="Q1973" s="206"/>
    </row>
    <row r="1974" spans="8:17" x14ac:dyDescent="0.3">
      <c r="H1974" s="203"/>
      <c r="I1974" s="202"/>
      <c r="J1974" s="148"/>
      <c r="K1974" s="203"/>
      <c r="L1974" s="202"/>
      <c r="M1974" s="148"/>
      <c r="N1974" s="204"/>
      <c r="O1974" s="205"/>
      <c r="P1974" s="206"/>
      <c r="Q1974" s="206"/>
    </row>
    <row r="1975" spans="8:17" x14ac:dyDescent="0.3">
      <c r="H1975" s="203"/>
      <c r="I1975" s="202"/>
      <c r="J1975" s="148"/>
      <c r="K1975" s="203"/>
      <c r="L1975" s="202"/>
      <c r="M1975" s="148"/>
      <c r="N1975" s="204"/>
      <c r="O1975" s="205"/>
      <c r="P1975" s="206"/>
      <c r="Q1975" s="206"/>
    </row>
    <row r="1976" spans="8:17" x14ac:dyDescent="0.3">
      <c r="H1976" s="203"/>
      <c r="I1976" s="202"/>
      <c r="J1976" s="148"/>
      <c r="K1976" s="203"/>
      <c r="L1976" s="202"/>
      <c r="M1976" s="148"/>
      <c r="N1976" s="204"/>
      <c r="O1976" s="205"/>
      <c r="P1976" s="206"/>
      <c r="Q1976" s="206"/>
    </row>
    <row r="1977" spans="8:17" x14ac:dyDescent="0.3">
      <c r="H1977" s="203"/>
      <c r="I1977" s="202"/>
      <c r="J1977" s="148"/>
      <c r="K1977" s="203"/>
      <c r="L1977" s="202"/>
      <c r="M1977" s="148"/>
      <c r="N1977" s="204"/>
      <c r="O1977" s="205"/>
      <c r="P1977" s="206"/>
      <c r="Q1977" s="206"/>
    </row>
    <row r="1978" spans="8:17" x14ac:dyDescent="0.3">
      <c r="H1978" s="203"/>
      <c r="I1978" s="202"/>
      <c r="J1978" s="148"/>
      <c r="K1978" s="203"/>
      <c r="L1978" s="202"/>
      <c r="M1978" s="148"/>
      <c r="N1978" s="204"/>
      <c r="O1978" s="205"/>
      <c r="P1978" s="206"/>
      <c r="Q1978" s="206"/>
    </row>
    <row r="1979" spans="8:17" x14ac:dyDescent="0.3">
      <c r="H1979" s="203"/>
      <c r="I1979" s="202"/>
      <c r="J1979" s="148"/>
      <c r="K1979" s="203"/>
      <c r="L1979" s="202"/>
      <c r="M1979" s="148"/>
      <c r="N1979" s="204"/>
      <c r="O1979" s="205"/>
      <c r="P1979" s="206"/>
      <c r="Q1979" s="206"/>
    </row>
    <row r="1980" spans="8:17" x14ac:dyDescent="0.3">
      <c r="H1980" s="203"/>
      <c r="I1980" s="202"/>
      <c r="J1980" s="148"/>
      <c r="K1980" s="203"/>
      <c r="L1980" s="202"/>
      <c r="M1980" s="148"/>
      <c r="N1980" s="204"/>
      <c r="O1980" s="205"/>
      <c r="P1980" s="206"/>
      <c r="Q1980" s="206"/>
    </row>
    <row r="1981" spans="8:17" x14ac:dyDescent="0.3">
      <c r="H1981" s="203"/>
      <c r="I1981" s="202"/>
      <c r="J1981" s="148"/>
      <c r="K1981" s="203"/>
      <c r="L1981" s="202"/>
      <c r="M1981" s="148"/>
      <c r="N1981" s="204"/>
      <c r="O1981" s="205"/>
      <c r="P1981" s="206"/>
      <c r="Q1981" s="206"/>
    </row>
    <row r="1982" spans="8:17" x14ac:dyDescent="0.3">
      <c r="H1982" s="203"/>
      <c r="I1982" s="202"/>
      <c r="J1982" s="148"/>
      <c r="K1982" s="203"/>
      <c r="L1982" s="202"/>
      <c r="M1982" s="148"/>
      <c r="N1982" s="204"/>
      <c r="O1982" s="205"/>
      <c r="P1982" s="206"/>
      <c r="Q1982" s="206"/>
    </row>
    <row r="1983" spans="8:17" x14ac:dyDescent="0.3">
      <c r="H1983" s="203"/>
      <c r="I1983" s="202"/>
      <c r="J1983" s="148"/>
      <c r="K1983" s="203"/>
      <c r="L1983" s="202"/>
      <c r="M1983" s="148"/>
      <c r="N1983" s="204"/>
      <c r="O1983" s="205"/>
      <c r="P1983" s="206"/>
      <c r="Q1983" s="206"/>
    </row>
    <row r="1984" spans="8:17" x14ac:dyDescent="0.3">
      <c r="H1984" s="203"/>
      <c r="I1984" s="202"/>
      <c r="J1984" s="148"/>
      <c r="K1984" s="203"/>
      <c r="L1984" s="202"/>
      <c r="M1984" s="148"/>
      <c r="N1984" s="204"/>
      <c r="O1984" s="205"/>
      <c r="P1984" s="206"/>
      <c r="Q1984" s="206"/>
    </row>
    <row r="1985" spans="8:17" x14ac:dyDescent="0.3">
      <c r="H1985" s="203"/>
      <c r="I1985" s="202"/>
      <c r="J1985" s="148"/>
      <c r="K1985" s="203"/>
      <c r="L1985" s="202"/>
      <c r="M1985" s="148"/>
      <c r="N1985" s="204"/>
      <c r="O1985" s="205"/>
      <c r="P1985" s="206"/>
      <c r="Q1985" s="206"/>
    </row>
    <row r="1986" spans="8:17" x14ac:dyDescent="0.3">
      <c r="H1986" s="203"/>
      <c r="I1986" s="202"/>
      <c r="J1986" s="148"/>
      <c r="K1986" s="203"/>
      <c r="L1986" s="202"/>
      <c r="M1986" s="148"/>
      <c r="N1986" s="204"/>
      <c r="O1986" s="205"/>
      <c r="P1986" s="206"/>
      <c r="Q1986" s="206"/>
    </row>
    <row r="1987" spans="8:17" x14ac:dyDescent="0.3">
      <c r="H1987" s="203"/>
      <c r="I1987" s="202"/>
      <c r="J1987" s="148"/>
      <c r="K1987" s="203"/>
      <c r="L1987" s="202"/>
      <c r="M1987" s="148"/>
      <c r="N1987" s="204"/>
      <c r="O1987" s="205"/>
      <c r="P1987" s="206"/>
      <c r="Q1987" s="206"/>
    </row>
    <row r="1988" spans="8:17" x14ac:dyDescent="0.3">
      <c r="H1988" s="203"/>
      <c r="I1988" s="202"/>
      <c r="J1988" s="148"/>
      <c r="K1988" s="203"/>
      <c r="L1988" s="202"/>
      <c r="M1988" s="148"/>
      <c r="N1988" s="204"/>
      <c r="O1988" s="205"/>
      <c r="P1988" s="206"/>
      <c r="Q1988" s="206"/>
    </row>
    <row r="1989" spans="8:17" x14ac:dyDescent="0.3">
      <c r="H1989" s="203"/>
      <c r="I1989" s="202"/>
      <c r="J1989" s="148"/>
      <c r="K1989" s="203"/>
      <c r="L1989" s="202"/>
      <c r="M1989" s="148"/>
      <c r="N1989" s="204"/>
      <c r="O1989" s="205"/>
      <c r="P1989" s="206"/>
      <c r="Q1989" s="206"/>
    </row>
    <row r="1990" spans="8:17" x14ac:dyDescent="0.3">
      <c r="H1990" s="203"/>
      <c r="I1990" s="202"/>
      <c r="J1990" s="148"/>
      <c r="K1990" s="203"/>
      <c r="L1990" s="202"/>
      <c r="M1990" s="148"/>
      <c r="N1990" s="204"/>
      <c r="O1990" s="205"/>
      <c r="P1990" s="206"/>
      <c r="Q1990" s="206"/>
    </row>
    <row r="1991" spans="8:17" x14ac:dyDescent="0.3">
      <c r="H1991" s="203"/>
      <c r="I1991" s="202"/>
      <c r="J1991" s="148"/>
      <c r="K1991" s="203"/>
      <c r="L1991" s="202"/>
      <c r="M1991" s="148"/>
      <c r="N1991" s="204"/>
      <c r="O1991" s="205"/>
      <c r="P1991" s="206"/>
      <c r="Q1991" s="206"/>
    </row>
    <row r="1992" spans="8:17" x14ac:dyDescent="0.3">
      <c r="H1992" s="203"/>
      <c r="I1992" s="202"/>
      <c r="J1992" s="148"/>
      <c r="K1992" s="203"/>
      <c r="L1992" s="202"/>
      <c r="M1992" s="148"/>
      <c r="N1992" s="204"/>
      <c r="O1992" s="205"/>
      <c r="P1992" s="206"/>
      <c r="Q1992" s="206"/>
    </row>
    <row r="1993" spans="8:17" x14ac:dyDescent="0.3">
      <c r="H1993" s="203"/>
      <c r="I1993" s="202"/>
      <c r="J1993" s="148"/>
      <c r="K1993" s="203"/>
      <c r="L1993" s="202"/>
      <c r="M1993" s="148"/>
      <c r="N1993" s="204"/>
      <c r="O1993" s="205"/>
      <c r="P1993" s="206"/>
      <c r="Q1993" s="206"/>
    </row>
    <row r="1994" spans="8:17" x14ac:dyDescent="0.3">
      <c r="H1994" s="203"/>
      <c r="I1994" s="202"/>
      <c r="J1994" s="148"/>
      <c r="K1994" s="203"/>
      <c r="L1994" s="202"/>
      <c r="M1994" s="148"/>
      <c r="N1994" s="204"/>
      <c r="O1994" s="205"/>
      <c r="P1994" s="206"/>
      <c r="Q1994" s="206"/>
    </row>
    <row r="1995" spans="8:17" x14ac:dyDescent="0.3">
      <c r="H1995" s="203"/>
      <c r="I1995" s="202"/>
      <c r="J1995" s="148"/>
      <c r="K1995" s="203"/>
      <c r="L1995" s="202"/>
      <c r="M1995" s="148"/>
      <c r="N1995" s="204"/>
      <c r="O1995" s="205"/>
      <c r="P1995" s="206"/>
      <c r="Q1995" s="206"/>
    </row>
    <row r="1996" spans="8:17" x14ac:dyDescent="0.3">
      <c r="H1996" s="203"/>
      <c r="I1996" s="202"/>
      <c r="J1996" s="148"/>
      <c r="K1996" s="203"/>
      <c r="L1996" s="202"/>
      <c r="M1996" s="148"/>
      <c r="N1996" s="204"/>
      <c r="O1996" s="205"/>
      <c r="P1996" s="206"/>
      <c r="Q1996" s="206"/>
    </row>
    <row r="1997" spans="8:17" x14ac:dyDescent="0.3">
      <c r="H1997" s="203"/>
      <c r="I1997" s="202"/>
      <c r="J1997" s="148"/>
      <c r="K1997" s="203"/>
      <c r="L1997" s="202"/>
      <c r="M1997" s="148"/>
      <c r="N1997" s="204"/>
      <c r="O1997" s="205"/>
      <c r="P1997" s="206"/>
      <c r="Q1997" s="206"/>
    </row>
    <row r="1998" spans="8:17" x14ac:dyDescent="0.3">
      <c r="H1998" s="203"/>
      <c r="I1998" s="202"/>
      <c r="J1998" s="148"/>
      <c r="K1998" s="203"/>
      <c r="L1998" s="202"/>
      <c r="M1998" s="148"/>
      <c r="N1998" s="204"/>
      <c r="O1998" s="205"/>
      <c r="P1998" s="206"/>
      <c r="Q1998" s="206"/>
    </row>
    <row r="1999" spans="8:17" x14ac:dyDescent="0.3">
      <c r="H1999" s="203"/>
      <c r="I1999" s="202"/>
      <c r="J1999" s="148"/>
      <c r="K1999" s="203"/>
      <c r="L1999" s="202"/>
      <c r="M1999" s="148"/>
      <c r="N1999" s="204"/>
      <c r="O1999" s="205"/>
      <c r="P1999" s="206"/>
      <c r="Q1999" s="206"/>
    </row>
    <row r="2000" spans="8:17" x14ac:dyDescent="0.3">
      <c r="H2000" s="203"/>
      <c r="I2000" s="202"/>
      <c r="J2000" s="148"/>
      <c r="K2000" s="203"/>
      <c r="L2000" s="202"/>
      <c r="M2000" s="148"/>
      <c r="N2000" s="204"/>
      <c r="O2000" s="205"/>
      <c r="P2000" s="206"/>
      <c r="Q2000" s="206"/>
    </row>
    <row r="2001" spans="8:17" x14ac:dyDescent="0.3">
      <c r="H2001" s="203"/>
      <c r="I2001" s="202"/>
      <c r="J2001" s="148"/>
      <c r="K2001" s="203"/>
      <c r="L2001" s="202"/>
      <c r="M2001" s="148"/>
      <c r="N2001" s="204"/>
      <c r="O2001" s="205"/>
      <c r="P2001" s="206"/>
      <c r="Q2001" s="206"/>
    </row>
    <row r="2002" spans="8:17" x14ac:dyDescent="0.3">
      <c r="H2002" s="203"/>
      <c r="I2002" s="202"/>
      <c r="J2002" s="148"/>
      <c r="K2002" s="203"/>
      <c r="L2002" s="202"/>
      <c r="M2002" s="148"/>
      <c r="N2002" s="204"/>
      <c r="O2002" s="205"/>
      <c r="P2002" s="206"/>
      <c r="Q2002" s="206"/>
    </row>
    <row r="2003" spans="8:17" x14ac:dyDescent="0.3">
      <c r="H2003" s="203"/>
      <c r="I2003" s="202"/>
      <c r="J2003" s="148"/>
      <c r="K2003" s="203"/>
      <c r="L2003" s="202"/>
      <c r="M2003" s="148"/>
      <c r="N2003" s="204"/>
      <c r="O2003" s="205"/>
      <c r="P2003" s="206"/>
      <c r="Q2003" s="206"/>
    </row>
    <row r="2004" spans="8:17" x14ac:dyDescent="0.3">
      <c r="H2004" s="203"/>
      <c r="I2004" s="202"/>
      <c r="J2004" s="148"/>
      <c r="K2004" s="203"/>
      <c r="L2004" s="202"/>
      <c r="M2004" s="148"/>
      <c r="N2004" s="204"/>
      <c r="O2004" s="205"/>
      <c r="P2004" s="206"/>
      <c r="Q2004" s="206"/>
    </row>
    <row r="2005" spans="8:17" x14ac:dyDescent="0.3">
      <c r="H2005" s="203"/>
      <c r="I2005" s="202"/>
      <c r="J2005" s="148"/>
      <c r="K2005" s="203"/>
      <c r="L2005" s="202"/>
      <c r="M2005" s="148"/>
      <c r="N2005" s="204"/>
      <c r="O2005" s="205"/>
      <c r="P2005" s="206"/>
      <c r="Q2005" s="206"/>
    </row>
    <row r="2006" spans="8:17" x14ac:dyDescent="0.3">
      <c r="H2006" s="203"/>
      <c r="I2006" s="202"/>
      <c r="J2006" s="148"/>
      <c r="K2006" s="203"/>
      <c r="L2006" s="202"/>
      <c r="M2006" s="148"/>
      <c r="N2006" s="204"/>
      <c r="O2006" s="205"/>
      <c r="P2006" s="206"/>
      <c r="Q2006" s="206"/>
    </row>
    <row r="2007" spans="8:17" x14ac:dyDescent="0.3">
      <c r="H2007" s="203"/>
      <c r="I2007" s="202"/>
      <c r="J2007" s="148"/>
      <c r="K2007" s="203"/>
      <c r="L2007" s="202"/>
      <c r="M2007" s="148"/>
      <c r="N2007" s="204"/>
      <c r="O2007" s="205"/>
      <c r="P2007" s="206"/>
      <c r="Q2007" s="206"/>
    </row>
    <row r="2008" spans="8:17" x14ac:dyDescent="0.3">
      <c r="H2008" s="203"/>
      <c r="I2008" s="202"/>
      <c r="J2008" s="148"/>
      <c r="K2008" s="203"/>
      <c r="L2008" s="202"/>
      <c r="M2008" s="148"/>
      <c r="N2008" s="204"/>
      <c r="O2008" s="205"/>
      <c r="P2008" s="206"/>
      <c r="Q2008" s="206"/>
    </row>
    <row r="2009" spans="8:17" x14ac:dyDescent="0.3">
      <c r="H2009" s="203"/>
      <c r="I2009" s="202"/>
      <c r="J2009" s="148"/>
      <c r="K2009" s="203"/>
      <c r="L2009" s="202"/>
      <c r="M2009" s="148"/>
      <c r="N2009" s="204"/>
      <c r="O2009" s="205"/>
      <c r="P2009" s="206"/>
      <c r="Q2009" s="206"/>
    </row>
    <row r="2010" spans="8:17" x14ac:dyDescent="0.3">
      <c r="H2010" s="203"/>
      <c r="I2010" s="202"/>
      <c r="J2010" s="148"/>
      <c r="K2010" s="203"/>
      <c r="L2010" s="202"/>
      <c r="M2010" s="148"/>
      <c r="N2010" s="204"/>
      <c r="O2010" s="205"/>
      <c r="P2010" s="206"/>
      <c r="Q2010" s="206"/>
    </row>
    <row r="2011" spans="8:17" x14ac:dyDescent="0.3">
      <c r="H2011" s="203"/>
      <c r="I2011" s="202"/>
      <c r="J2011" s="148"/>
      <c r="K2011" s="203"/>
      <c r="L2011" s="202"/>
      <c r="M2011" s="148"/>
      <c r="N2011" s="204"/>
      <c r="O2011" s="205"/>
      <c r="P2011" s="206"/>
      <c r="Q2011" s="206"/>
    </row>
    <row r="2012" spans="8:17" x14ac:dyDescent="0.3">
      <c r="H2012" s="203"/>
      <c r="I2012" s="202"/>
      <c r="J2012" s="148"/>
      <c r="K2012" s="203"/>
      <c r="L2012" s="202"/>
      <c r="M2012" s="148"/>
      <c r="N2012" s="204"/>
      <c r="O2012" s="205"/>
      <c r="P2012" s="206"/>
      <c r="Q2012" s="206"/>
    </row>
    <row r="2013" spans="8:17" x14ac:dyDescent="0.3">
      <c r="H2013" s="203"/>
      <c r="I2013" s="202"/>
      <c r="J2013" s="148"/>
      <c r="K2013" s="203"/>
      <c r="L2013" s="202"/>
      <c r="M2013" s="148"/>
      <c r="N2013" s="204"/>
      <c r="O2013" s="205"/>
      <c r="P2013" s="206"/>
      <c r="Q2013" s="206"/>
    </row>
    <row r="2014" spans="8:17" x14ac:dyDescent="0.3">
      <c r="H2014" s="203"/>
      <c r="I2014" s="202"/>
      <c r="J2014" s="148"/>
      <c r="K2014" s="203"/>
      <c r="L2014" s="202"/>
      <c r="M2014" s="148"/>
      <c r="N2014" s="204"/>
      <c r="O2014" s="205"/>
      <c r="P2014" s="206"/>
      <c r="Q2014" s="206"/>
    </row>
    <row r="2015" spans="8:17" x14ac:dyDescent="0.3">
      <c r="H2015" s="203"/>
      <c r="I2015" s="202"/>
      <c r="J2015" s="148"/>
      <c r="K2015" s="203"/>
      <c r="L2015" s="202"/>
      <c r="M2015" s="148"/>
      <c r="N2015" s="204"/>
      <c r="O2015" s="205"/>
      <c r="P2015" s="206"/>
      <c r="Q2015" s="206"/>
    </row>
    <row r="2016" spans="8:17" x14ac:dyDescent="0.3">
      <c r="H2016" s="203"/>
      <c r="I2016" s="202"/>
      <c r="J2016" s="148"/>
      <c r="K2016" s="203"/>
      <c r="L2016" s="202"/>
      <c r="M2016" s="148"/>
      <c r="N2016" s="204"/>
      <c r="O2016" s="205"/>
      <c r="P2016" s="206"/>
      <c r="Q2016" s="206"/>
    </row>
    <row r="2017" spans="8:17" x14ac:dyDescent="0.3">
      <c r="H2017" s="203"/>
      <c r="I2017" s="202"/>
      <c r="J2017" s="148"/>
      <c r="K2017" s="203"/>
      <c r="L2017" s="202"/>
      <c r="M2017" s="148"/>
      <c r="N2017" s="204"/>
      <c r="O2017" s="205"/>
      <c r="P2017" s="206"/>
      <c r="Q2017" s="206"/>
    </row>
    <row r="2018" spans="8:17" x14ac:dyDescent="0.3">
      <c r="H2018" s="203"/>
      <c r="I2018" s="202"/>
      <c r="J2018" s="148"/>
      <c r="K2018" s="203"/>
      <c r="L2018" s="202"/>
      <c r="M2018" s="148"/>
      <c r="N2018" s="204"/>
      <c r="O2018" s="205"/>
      <c r="P2018" s="206"/>
      <c r="Q2018" s="206"/>
    </row>
    <row r="2019" spans="8:17" x14ac:dyDescent="0.3">
      <c r="H2019" s="203"/>
      <c r="I2019" s="202"/>
      <c r="J2019" s="148"/>
      <c r="K2019" s="203"/>
      <c r="L2019" s="202"/>
      <c r="M2019" s="148"/>
      <c r="N2019" s="204"/>
      <c r="O2019" s="205"/>
      <c r="P2019" s="206"/>
      <c r="Q2019" s="206"/>
    </row>
    <row r="2020" spans="8:17" x14ac:dyDescent="0.3">
      <c r="H2020" s="203"/>
      <c r="I2020" s="202"/>
      <c r="J2020" s="148"/>
      <c r="K2020" s="203"/>
      <c r="L2020" s="202"/>
      <c r="M2020" s="148"/>
      <c r="N2020" s="204"/>
      <c r="O2020" s="205"/>
      <c r="P2020" s="206"/>
      <c r="Q2020" s="206"/>
    </row>
    <row r="2021" spans="8:17" x14ac:dyDescent="0.3">
      <c r="H2021" s="203"/>
      <c r="I2021" s="202"/>
      <c r="J2021" s="148"/>
      <c r="K2021" s="203"/>
      <c r="L2021" s="202"/>
      <c r="M2021" s="148"/>
      <c r="N2021" s="204"/>
      <c r="O2021" s="205"/>
      <c r="P2021" s="206"/>
      <c r="Q2021" s="206"/>
    </row>
    <row r="2022" spans="8:17" x14ac:dyDescent="0.3">
      <c r="H2022" s="203"/>
      <c r="I2022" s="202"/>
      <c r="J2022" s="148"/>
      <c r="K2022" s="203"/>
      <c r="L2022" s="202"/>
      <c r="M2022" s="148"/>
      <c r="N2022" s="204"/>
      <c r="O2022" s="205"/>
      <c r="P2022" s="206"/>
      <c r="Q2022" s="206"/>
    </row>
    <row r="2023" spans="8:17" x14ac:dyDescent="0.3">
      <c r="H2023" s="203"/>
      <c r="I2023" s="202"/>
      <c r="J2023" s="148"/>
      <c r="K2023" s="203"/>
      <c r="L2023" s="202"/>
      <c r="M2023" s="148"/>
      <c r="N2023" s="204"/>
      <c r="O2023" s="205"/>
      <c r="P2023" s="206"/>
      <c r="Q2023" s="206"/>
    </row>
    <row r="2024" spans="8:17" x14ac:dyDescent="0.3">
      <c r="H2024" s="203"/>
      <c r="I2024" s="202"/>
      <c r="J2024" s="148"/>
      <c r="K2024" s="203"/>
      <c r="L2024" s="202"/>
      <c r="M2024" s="148"/>
      <c r="N2024" s="204"/>
      <c r="O2024" s="205"/>
      <c r="P2024" s="206"/>
      <c r="Q2024" s="206"/>
    </row>
    <row r="2025" spans="8:17" x14ac:dyDescent="0.3">
      <c r="H2025" s="203"/>
      <c r="I2025" s="202"/>
      <c r="J2025" s="148"/>
      <c r="K2025" s="203"/>
      <c r="L2025" s="202"/>
      <c r="M2025" s="148"/>
      <c r="N2025" s="204"/>
      <c r="O2025" s="205"/>
      <c r="P2025" s="206"/>
      <c r="Q2025" s="206"/>
    </row>
    <row r="2026" spans="8:17" x14ac:dyDescent="0.3">
      <c r="H2026" s="203"/>
      <c r="I2026" s="202"/>
      <c r="J2026" s="148"/>
      <c r="K2026" s="203"/>
      <c r="L2026" s="202"/>
      <c r="M2026" s="148"/>
      <c r="N2026" s="204"/>
      <c r="O2026" s="205"/>
      <c r="P2026" s="206"/>
      <c r="Q2026" s="206"/>
    </row>
    <row r="2027" spans="8:17" x14ac:dyDescent="0.3">
      <c r="H2027" s="203"/>
      <c r="I2027" s="202"/>
      <c r="J2027" s="148"/>
      <c r="K2027" s="203"/>
      <c r="L2027" s="202"/>
      <c r="M2027" s="148"/>
      <c r="N2027" s="204"/>
      <c r="O2027" s="205"/>
      <c r="P2027" s="206"/>
      <c r="Q2027" s="206"/>
    </row>
    <row r="2028" spans="8:17" x14ac:dyDescent="0.3">
      <c r="H2028" s="203"/>
      <c r="I2028" s="202"/>
      <c r="J2028" s="148"/>
      <c r="K2028" s="203"/>
      <c r="L2028" s="202"/>
      <c r="M2028" s="148"/>
      <c r="N2028" s="204"/>
      <c r="O2028" s="205"/>
      <c r="P2028" s="206"/>
      <c r="Q2028" s="206"/>
    </row>
    <row r="2029" spans="8:17" x14ac:dyDescent="0.3">
      <c r="H2029" s="203"/>
      <c r="I2029" s="202"/>
      <c r="J2029" s="148"/>
      <c r="K2029" s="203"/>
      <c r="L2029" s="202"/>
      <c r="M2029" s="148"/>
      <c r="N2029" s="204"/>
      <c r="O2029" s="205"/>
      <c r="P2029" s="206"/>
      <c r="Q2029" s="206"/>
    </row>
    <row r="2030" spans="8:17" x14ac:dyDescent="0.3">
      <c r="H2030" s="203"/>
      <c r="I2030" s="202"/>
      <c r="J2030" s="148"/>
      <c r="K2030" s="203"/>
      <c r="L2030" s="202"/>
      <c r="M2030" s="148"/>
      <c r="N2030" s="204"/>
      <c r="O2030" s="205"/>
      <c r="P2030" s="206"/>
      <c r="Q2030" s="206"/>
    </row>
    <row r="2031" spans="8:17" x14ac:dyDescent="0.3">
      <c r="H2031" s="203"/>
      <c r="I2031" s="202"/>
      <c r="J2031" s="148"/>
      <c r="K2031" s="203"/>
      <c r="L2031" s="202"/>
      <c r="M2031" s="148"/>
      <c r="N2031" s="204"/>
      <c r="O2031" s="205"/>
      <c r="P2031" s="206"/>
      <c r="Q2031" s="206"/>
    </row>
    <row r="2032" spans="8:17" x14ac:dyDescent="0.3">
      <c r="H2032" s="203"/>
      <c r="I2032" s="202"/>
      <c r="J2032" s="148"/>
      <c r="K2032" s="203"/>
      <c r="L2032" s="202"/>
      <c r="M2032" s="148"/>
      <c r="N2032" s="204"/>
      <c r="O2032" s="205"/>
      <c r="P2032" s="206"/>
      <c r="Q2032" s="206"/>
    </row>
    <row r="2033" spans="8:17" x14ac:dyDescent="0.3">
      <c r="H2033" s="203"/>
      <c r="I2033" s="202"/>
      <c r="J2033" s="148"/>
      <c r="K2033" s="203"/>
      <c r="L2033" s="202"/>
      <c r="M2033" s="148"/>
      <c r="N2033" s="204"/>
      <c r="O2033" s="205"/>
      <c r="P2033" s="206"/>
      <c r="Q2033" s="206"/>
    </row>
    <row r="2034" spans="8:17" x14ac:dyDescent="0.3">
      <c r="H2034" s="203"/>
      <c r="I2034" s="202"/>
      <c r="J2034" s="148"/>
      <c r="K2034" s="203"/>
      <c r="L2034" s="202"/>
      <c r="M2034" s="148"/>
      <c r="N2034" s="204"/>
      <c r="O2034" s="205"/>
      <c r="P2034" s="206"/>
      <c r="Q2034" s="206"/>
    </row>
    <row r="2035" spans="8:17" x14ac:dyDescent="0.3">
      <c r="H2035" s="203"/>
      <c r="I2035" s="202"/>
      <c r="J2035" s="148"/>
      <c r="K2035" s="203"/>
      <c r="L2035" s="202"/>
      <c r="M2035" s="148"/>
      <c r="N2035" s="204"/>
      <c r="O2035" s="205"/>
      <c r="P2035" s="206"/>
      <c r="Q2035" s="206"/>
    </row>
    <row r="2036" spans="8:17" x14ac:dyDescent="0.3">
      <c r="H2036" s="203"/>
      <c r="I2036" s="202"/>
      <c r="J2036" s="148"/>
      <c r="K2036" s="203"/>
      <c r="L2036" s="202"/>
      <c r="M2036" s="148"/>
      <c r="N2036" s="204"/>
      <c r="O2036" s="205"/>
      <c r="P2036" s="206"/>
      <c r="Q2036" s="206"/>
    </row>
    <row r="2037" spans="8:17" x14ac:dyDescent="0.3">
      <c r="H2037" s="203"/>
      <c r="I2037" s="202"/>
      <c r="J2037" s="148"/>
      <c r="K2037" s="203"/>
      <c r="L2037" s="202"/>
      <c r="M2037" s="148"/>
      <c r="N2037" s="204"/>
      <c r="O2037" s="205"/>
      <c r="P2037" s="206"/>
      <c r="Q2037" s="206"/>
    </row>
    <row r="2038" spans="8:17" x14ac:dyDescent="0.3">
      <c r="H2038" s="203"/>
      <c r="I2038" s="202"/>
      <c r="J2038" s="148"/>
      <c r="K2038" s="203"/>
      <c r="L2038" s="202"/>
      <c r="M2038" s="148"/>
      <c r="N2038" s="204"/>
      <c r="O2038" s="205"/>
      <c r="P2038" s="206"/>
      <c r="Q2038" s="206"/>
    </row>
    <row r="2039" spans="8:17" x14ac:dyDescent="0.3">
      <c r="H2039" s="203"/>
      <c r="I2039" s="202"/>
      <c r="J2039" s="148"/>
      <c r="K2039" s="203"/>
      <c r="L2039" s="202"/>
      <c r="M2039" s="148"/>
      <c r="N2039" s="204"/>
      <c r="O2039" s="205"/>
      <c r="P2039" s="206"/>
      <c r="Q2039" s="206"/>
    </row>
    <row r="2040" spans="8:17" x14ac:dyDescent="0.3">
      <c r="H2040" s="203"/>
      <c r="I2040" s="202"/>
      <c r="J2040" s="148"/>
      <c r="K2040" s="203"/>
      <c r="L2040" s="202"/>
      <c r="M2040" s="148"/>
      <c r="N2040" s="204"/>
      <c r="O2040" s="205"/>
      <c r="P2040" s="206"/>
      <c r="Q2040" s="206"/>
    </row>
    <row r="2041" spans="8:17" x14ac:dyDescent="0.3">
      <c r="H2041" s="203"/>
      <c r="I2041" s="202"/>
      <c r="J2041" s="148"/>
      <c r="K2041" s="203"/>
      <c r="L2041" s="202"/>
      <c r="M2041" s="148"/>
      <c r="N2041" s="204"/>
      <c r="O2041" s="205"/>
      <c r="P2041" s="206"/>
      <c r="Q2041" s="206"/>
    </row>
    <row r="2042" spans="8:17" x14ac:dyDescent="0.3">
      <c r="H2042" s="203"/>
      <c r="I2042" s="202"/>
      <c r="J2042" s="148"/>
      <c r="K2042" s="203"/>
      <c r="L2042" s="202"/>
      <c r="M2042" s="148"/>
      <c r="N2042" s="204"/>
      <c r="O2042" s="205"/>
      <c r="P2042" s="206"/>
      <c r="Q2042" s="206"/>
    </row>
    <row r="2043" spans="8:17" x14ac:dyDescent="0.3">
      <c r="H2043" s="203"/>
      <c r="I2043" s="202"/>
      <c r="J2043" s="148"/>
      <c r="K2043" s="203"/>
      <c r="L2043" s="202"/>
      <c r="M2043" s="148"/>
      <c r="N2043" s="204"/>
      <c r="O2043" s="205"/>
      <c r="P2043" s="206"/>
      <c r="Q2043" s="206"/>
    </row>
    <row r="2044" spans="8:17" x14ac:dyDescent="0.3">
      <c r="H2044" s="203"/>
      <c r="I2044" s="202"/>
      <c r="J2044" s="148"/>
      <c r="K2044" s="203"/>
      <c r="L2044" s="202"/>
      <c r="M2044" s="148"/>
      <c r="N2044" s="204"/>
      <c r="O2044" s="205"/>
      <c r="P2044" s="206"/>
      <c r="Q2044" s="206"/>
    </row>
    <row r="2045" spans="8:17" x14ac:dyDescent="0.3">
      <c r="H2045" s="203"/>
      <c r="I2045" s="202"/>
      <c r="J2045" s="148"/>
      <c r="K2045" s="203"/>
      <c r="L2045" s="202"/>
      <c r="M2045" s="148"/>
      <c r="N2045" s="204"/>
      <c r="O2045" s="205"/>
      <c r="P2045" s="206"/>
      <c r="Q2045" s="206"/>
    </row>
    <row r="2046" spans="8:17" x14ac:dyDescent="0.3">
      <c r="H2046" s="203"/>
      <c r="I2046" s="202"/>
      <c r="J2046" s="148"/>
      <c r="K2046" s="203"/>
      <c r="L2046" s="202"/>
      <c r="M2046" s="148"/>
      <c r="N2046" s="204"/>
      <c r="O2046" s="205"/>
      <c r="P2046" s="206"/>
      <c r="Q2046" s="206"/>
    </row>
    <row r="2047" spans="8:17" x14ac:dyDescent="0.3">
      <c r="H2047" s="203"/>
      <c r="I2047" s="202"/>
      <c r="J2047" s="148"/>
      <c r="K2047" s="203"/>
      <c r="L2047" s="202"/>
      <c r="M2047" s="148"/>
      <c r="N2047" s="204"/>
      <c r="O2047" s="205"/>
      <c r="P2047" s="206"/>
      <c r="Q2047" s="206"/>
    </row>
    <row r="2048" spans="8:17" x14ac:dyDescent="0.3">
      <c r="H2048" s="203"/>
      <c r="I2048" s="202"/>
      <c r="J2048" s="148"/>
      <c r="K2048" s="203"/>
      <c r="L2048" s="202"/>
      <c r="M2048" s="148"/>
      <c r="N2048" s="204"/>
      <c r="O2048" s="205"/>
      <c r="P2048" s="206"/>
      <c r="Q2048" s="206"/>
    </row>
    <row r="2049" spans="8:17" x14ac:dyDescent="0.3">
      <c r="H2049" s="203"/>
      <c r="I2049" s="202"/>
      <c r="J2049" s="148"/>
      <c r="K2049" s="203"/>
      <c r="L2049" s="202"/>
      <c r="M2049" s="148"/>
      <c r="N2049" s="204"/>
      <c r="O2049" s="205"/>
      <c r="P2049" s="206"/>
      <c r="Q2049" s="206"/>
    </row>
    <row r="2050" spans="8:17" x14ac:dyDescent="0.3">
      <c r="H2050" s="203"/>
      <c r="I2050" s="202"/>
      <c r="J2050" s="148"/>
      <c r="K2050" s="203"/>
      <c r="L2050" s="202"/>
      <c r="M2050" s="148"/>
      <c r="N2050" s="204"/>
      <c r="O2050" s="205"/>
      <c r="P2050" s="206"/>
      <c r="Q2050" s="206"/>
    </row>
    <row r="2051" spans="8:17" x14ac:dyDescent="0.3">
      <c r="H2051" s="203"/>
      <c r="I2051" s="202"/>
      <c r="J2051" s="148"/>
      <c r="K2051" s="203"/>
      <c r="L2051" s="202"/>
      <c r="M2051" s="148"/>
      <c r="N2051" s="204"/>
      <c r="O2051" s="205"/>
      <c r="P2051" s="206"/>
      <c r="Q2051" s="206"/>
    </row>
    <row r="2052" spans="8:17" x14ac:dyDescent="0.3">
      <c r="H2052" s="203"/>
      <c r="I2052" s="202"/>
      <c r="J2052" s="148"/>
      <c r="K2052" s="203"/>
      <c r="L2052" s="202"/>
      <c r="M2052" s="148"/>
      <c r="N2052" s="204"/>
      <c r="O2052" s="205"/>
      <c r="P2052" s="206"/>
      <c r="Q2052" s="206"/>
    </row>
    <row r="2053" spans="8:17" x14ac:dyDescent="0.3">
      <c r="H2053" s="203"/>
      <c r="I2053" s="202"/>
      <c r="J2053" s="148"/>
      <c r="K2053" s="203"/>
      <c r="L2053" s="202"/>
      <c r="M2053" s="148"/>
      <c r="N2053" s="204"/>
      <c r="O2053" s="205"/>
      <c r="P2053" s="206"/>
      <c r="Q2053" s="206"/>
    </row>
    <row r="2054" spans="8:17" x14ac:dyDescent="0.3">
      <c r="H2054" s="203"/>
      <c r="I2054" s="202"/>
      <c r="J2054" s="148"/>
      <c r="K2054" s="203"/>
      <c r="L2054" s="202"/>
      <c r="M2054" s="148"/>
      <c r="N2054" s="204"/>
      <c r="O2054" s="205"/>
      <c r="P2054" s="206"/>
      <c r="Q2054" s="206"/>
    </row>
    <row r="2055" spans="8:17" x14ac:dyDescent="0.3">
      <c r="H2055" s="203"/>
      <c r="I2055" s="202"/>
      <c r="J2055" s="148"/>
      <c r="K2055" s="203"/>
      <c r="L2055" s="202"/>
      <c r="M2055" s="148"/>
      <c r="N2055" s="204"/>
      <c r="O2055" s="205"/>
      <c r="P2055" s="206"/>
      <c r="Q2055" s="206"/>
    </row>
    <row r="2056" spans="8:17" x14ac:dyDescent="0.3">
      <c r="H2056" s="203"/>
      <c r="I2056" s="202"/>
      <c r="J2056" s="148"/>
      <c r="K2056" s="203"/>
      <c r="L2056" s="202"/>
      <c r="M2056" s="148"/>
      <c r="N2056" s="204"/>
      <c r="O2056" s="205"/>
      <c r="P2056" s="206"/>
      <c r="Q2056" s="206"/>
    </row>
    <row r="2057" spans="8:17" x14ac:dyDescent="0.3">
      <c r="H2057" s="203"/>
      <c r="I2057" s="202"/>
      <c r="J2057" s="148"/>
      <c r="K2057" s="203"/>
      <c r="L2057" s="202"/>
      <c r="M2057" s="148"/>
      <c r="N2057" s="204"/>
      <c r="O2057" s="205"/>
      <c r="P2057" s="206"/>
      <c r="Q2057" s="206"/>
    </row>
    <row r="2058" spans="8:17" x14ac:dyDescent="0.3">
      <c r="H2058" s="203"/>
      <c r="I2058" s="202"/>
      <c r="J2058" s="148"/>
      <c r="K2058" s="203"/>
      <c r="L2058" s="202"/>
      <c r="M2058" s="148"/>
      <c r="N2058" s="204"/>
      <c r="O2058" s="205"/>
      <c r="P2058" s="206"/>
      <c r="Q2058" s="206"/>
    </row>
    <row r="2059" spans="8:17" x14ac:dyDescent="0.3">
      <c r="H2059" s="203"/>
      <c r="I2059" s="202"/>
      <c r="J2059" s="148"/>
      <c r="K2059" s="203"/>
      <c r="L2059" s="202"/>
      <c r="M2059" s="148"/>
      <c r="N2059" s="204"/>
      <c r="O2059" s="205"/>
      <c r="P2059" s="206"/>
      <c r="Q2059" s="206"/>
    </row>
    <row r="2060" spans="8:17" x14ac:dyDescent="0.3">
      <c r="H2060" s="203"/>
      <c r="I2060" s="202"/>
      <c r="J2060" s="148"/>
      <c r="K2060" s="203"/>
      <c r="L2060" s="202"/>
      <c r="M2060" s="148"/>
      <c r="N2060" s="204"/>
      <c r="O2060" s="205"/>
      <c r="P2060" s="206"/>
      <c r="Q2060" s="206"/>
    </row>
    <row r="2061" spans="8:17" x14ac:dyDescent="0.3">
      <c r="H2061" s="203"/>
      <c r="I2061" s="202"/>
      <c r="J2061" s="148"/>
      <c r="K2061" s="203"/>
      <c r="L2061" s="202"/>
      <c r="M2061" s="148"/>
      <c r="N2061" s="204"/>
      <c r="O2061" s="205"/>
      <c r="P2061" s="206"/>
      <c r="Q2061" s="206"/>
    </row>
    <row r="2062" spans="8:17" x14ac:dyDescent="0.3">
      <c r="H2062" s="203"/>
      <c r="I2062" s="202"/>
      <c r="J2062" s="148"/>
      <c r="K2062" s="203"/>
      <c r="L2062" s="202"/>
      <c r="M2062" s="148"/>
      <c r="N2062" s="204"/>
      <c r="O2062" s="205"/>
      <c r="P2062" s="206"/>
      <c r="Q2062" s="206"/>
    </row>
    <row r="2063" spans="8:17" x14ac:dyDescent="0.3">
      <c r="H2063" s="203"/>
      <c r="I2063" s="202"/>
      <c r="J2063" s="148"/>
      <c r="K2063" s="203"/>
      <c r="L2063" s="202"/>
      <c r="M2063" s="148"/>
      <c r="N2063" s="204"/>
      <c r="O2063" s="205"/>
      <c r="P2063" s="206"/>
      <c r="Q2063" s="206"/>
    </row>
    <row r="2064" spans="8:17" x14ac:dyDescent="0.3">
      <c r="H2064" s="203"/>
      <c r="I2064" s="202"/>
      <c r="J2064" s="148"/>
      <c r="K2064" s="203"/>
      <c r="L2064" s="202"/>
      <c r="M2064" s="148"/>
      <c r="N2064" s="204"/>
      <c r="O2064" s="205"/>
      <c r="P2064" s="206"/>
      <c r="Q2064" s="206"/>
    </row>
    <row r="2065" spans="8:17" x14ac:dyDescent="0.3">
      <c r="H2065" s="203"/>
      <c r="I2065" s="202"/>
      <c r="J2065" s="148"/>
      <c r="K2065" s="203"/>
      <c r="L2065" s="202"/>
      <c r="M2065" s="148"/>
      <c r="N2065" s="204"/>
      <c r="O2065" s="205"/>
      <c r="P2065" s="206"/>
      <c r="Q2065" s="206"/>
    </row>
    <row r="2066" spans="8:17" x14ac:dyDescent="0.3">
      <c r="H2066" s="203"/>
      <c r="I2066" s="202"/>
      <c r="J2066" s="148"/>
      <c r="K2066" s="203"/>
      <c r="L2066" s="202"/>
      <c r="M2066" s="148"/>
      <c r="N2066" s="204"/>
      <c r="O2066" s="205"/>
      <c r="P2066" s="206"/>
      <c r="Q2066" s="206"/>
    </row>
    <row r="2067" spans="8:17" x14ac:dyDescent="0.3">
      <c r="H2067" s="203"/>
      <c r="I2067" s="202"/>
      <c r="J2067" s="148"/>
      <c r="K2067" s="203"/>
      <c r="L2067" s="202"/>
      <c r="M2067" s="148"/>
      <c r="N2067" s="204"/>
      <c r="O2067" s="205"/>
      <c r="P2067" s="206"/>
      <c r="Q2067" s="206"/>
    </row>
    <row r="2068" spans="8:17" x14ac:dyDescent="0.3">
      <c r="H2068" s="203"/>
      <c r="I2068" s="202"/>
      <c r="J2068" s="148"/>
      <c r="K2068" s="203"/>
      <c r="L2068" s="202"/>
      <c r="M2068" s="148"/>
      <c r="N2068" s="204"/>
      <c r="O2068" s="205"/>
      <c r="P2068" s="206"/>
      <c r="Q2068" s="206"/>
    </row>
    <row r="2069" spans="8:17" x14ac:dyDescent="0.3">
      <c r="H2069" s="203"/>
      <c r="I2069" s="202"/>
      <c r="J2069" s="148"/>
      <c r="K2069" s="203"/>
      <c r="L2069" s="202"/>
      <c r="M2069" s="148"/>
      <c r="N2069" s="204"/>
      <c r="O2069" s="205"/>
      <c r="P2069" s="206"/>
      <c r="Q2069" s="206"/>
    </row>
    <row r="2070" spans="8:17" x14ac:dyDescent="0.3">
      <c r="H2070" s="203"/>
      <c r="I2070" s="202"/>
      <c r="J2070" s="148"/>
      <c r="K2070" s="203"/>
      <c r="L2070" s="202"/>
      <c r="M2070" s="148"/>
      <c r="N2070" s="204"/>
      <c r="O2070" s="205"/>
      <c r="P2070" s="206"/>
      <c r="Q2070" s="206"/>
    </row>
    <row r="2071" spans="8:17" x14ac:dyDescent="0.3">
      <c r="H2071" s="203"/>
      <c r="I2071" s="202"/>
      <c r="J2071" s="148"/>
      <c r="K2071" s="203"/>
      <c r="L2071" s="202"/>
      <c r="M2071" s="148"/>
      <c r="N2071" s="204"/>
      <c r="O2071" s="205"/>
      <c r="P2071" s="206"/>
      <c r="Q2071" s="206"/>
    </row>
    <row r="2072" spans="8:17" x14ac:dyDescent="0.3">
      <c r="H2072" s="203"/>
      <c r="I2072" s="202"/>
      <c r="J2072" s="148"/>
      <c r="K2072" s="203"/>
      <c r="L2072" s="202"/>
      <c r="M2072" s="148"/>
      <c r="N2072" s="204"/>
      <c r="O2072" s="205"/>
      <c r="P2072" s="206"/>
      <c r="Q2072" s="206"/>
    </row>
    <row r="2073" spans="8:17" x14ac:dyDescent="0.3">
      <c r="H2073" s="203"/>
      <c r="I2073" s="202"/>
      <c r="J2073" s="148"/>
      <c r="K2073" s="203"/>
      <c r="L2073" s="202"/>
      <c r="M2073" s="148"/>
      <c r="N2073" s="204"/>
      <c r="O2073" s="205"/>
      <c r="P2073" s="206"/>
      <c r="Q2073" s="206"/>
    </row>
    <row r="2074" spans="8:17" x14ac:dyDescent="0.3">
      <c r="H2074" s="203"/>
      <c r="I2074" s="202"/>
      <c r="J2074" s="148"/>
      <c r="K2074" s="203"/>
      <c r="L2074" s="202"/>
      <c r="M2074" s="148"/>
      <c r="N2074" s="204"/>
      <c r="O2074" s="205"/>
      <c r="P2074" s="206"/>
      <c r="Q2074" s="206"/>
    </row>
    <row r="2075" spans="8:17" x14ac:dyDescent="0.3">
      <c r="H2075" s="203"/>
      <c r="I2075" s="202"/>
      <c r="J2075" s="148"/>
      <c r="K2075" s="203"/>
      <c r="L2075" s="202"/>
      <c r="M2075" s="148"/>
      <c r="N2075" s="204"/>
      <c r="O2075" s="205"/>
      <c r="P2075" s="206"/>
      <c r="Q2075" s="206"/>
    </row>
    <row r="2076" spans="8:17" x14ac:dyDescent="0.3">
      <c r="H2076" s="203"/>
      <c r="I2076" s="202"/>
      <c r="J2076" s="148"/>
      <c r="K2076" s="203"/>
      <c r="L2076" s="202"/>
      <c r="M2076" s="148"/>
      <c r="N2076" s="204"/>
      <c r="O2076" s="205"/>
      <c r="P2076" s="206"/>
      <c r="Q2076" s="206"/>
    </row>
    <row r="2077" spans="8:17" x14ac:dyDescent="0.3">
      <c r="H2077" s="203"/>
      <c r="I2077" s="202"/>
      <c r="J2077" s="148"/>
      <c r="K2077" s="203"/>
      <c r="L2077" s="202"/>
      <c r="M2077" s="148"/>
      <c r="N2077" s="204"/>
      <c r="O2077" s="205"/>
      <c r="P2077" s="206"/>
      <c r="Q2077" s="206"/>
    </row>
    <row r="2078" spans="8:17" x14ac:dyDescent="0.3">
      <c r="H2078" s="203"/>
      <c r="I2078" s="202"/>
      <c r="J2078" s="148"/>
      <c r="K2078" s="203"/>
      <c r="L2078" s="202"/>
      <c r="M2078" s="148"/>
      <c r="N2078" s="204"/>
      <c r="O2078" s="205"/>
      <c r="P2078" s="206"/>
      <c r="Q2078" s="206"/>
    </row>
    <row r="2079" spans="8:17" x14ac:dyDescent="0.3">
      <c r="H2079" s="203"/>
      <c r="I2079" s="202"/>
      <c r="J2079" s="148"/>
      <c r="K2079" s="203"/>
      <c r="L2079" s="202"/>
      <c r="M2079" s="148"/>
      <c r="N2079" s="204"/>
      <c r="O2079" s="205"/>
      <c r="P2079" s="206"/>
      <c r="Q2079" s="206"/>
    </row>
    <row r="2080" spans="8:17" x14ac:dyDescent="0.3">
      <c r="H2080" s="203"/>
      <c r="I2080" s="202"/>
      <c r="J2080" s="148"/>
      <c r="K2080" s="203"/>
      <c r="L2080" s="202"/>
      <c r="M2080" s="148"/>
      <c r="N2080" s="204"/>
      <c r="O2080" s="205"/>
      <c r="P2080" s="206"/>
      <c r="Q2080" s="206"/>
    </row>
    <row r="2081" spans="8:17" x14ac:dyDescent="0.3">
      <c r="H2081" s="203"/>
      <c r="I2081" s="202"/>
      <c r="J2081" s="148"/>
      <c r="K2081" s="203"/>
      <c r="L2081" s="202"/>
      <c r="M2081" s="148"/>
      <c r="N2081" s="204"/>
      <c r="O2081" s="205"/>
      <c r="P2081" s="206"/>
      <c r="Q2081" s="206"/>
    </row>
    <row r="2082" spans="8:17" x14ac:dyDescent="0.3">
      <c r="H2082" s="203"/>
      <c r="I2082" s="202"/>
      <c r="J2082" s="148"/>
      <c r="K2082" s="203"/>
      <c r="L2082" s="202"/>
      <c r="M2082" s="148"/>
      <c r="N2082" s="204"/>
      <c r="O2082" s="205"/>
      <c r="P2082" s="206"/>
      <c r="Q2082" s="206"/>
    </row>
    <row r="2083" spans="8:17" x14ac:dyDescent="0.3">
      <c r="H2083" s="203"/>
      <c r="I2083" s="202"/>
      <c r="J2083" s="148"/>
      <c r="K2083" s="203"/>
      <c r="L2083" s="202"/>
      <c r="M2083" s="148"/>
      <c r="N2083" s="204"/>
      <c r="O2083" s="205"/>
      <c r="P2083" s="206"/>
      <c r="Q2083" s="206"/>
    </row>
    <row r="2084" spans="8:17" x14ac:dyDescent="0.3">
      <c r="H2084" s="203"/>
      <c r="I2084" s="202"/>
      <c r="J2084" s="148"/>
      <c r="K2084" s="203"/>
      <c r="L2084" s="202"/>
      <c r="M2084" s="148"/>
      <c r="N2084" s="204"/>
      <c r="O2084" s="205"/>
      <c r="P2084" s="206"/>
      <c r="Q2084" s="206"/>
    </row>
    <row r="2085" spans="8:17" x14ac:dyDescent="0.3">
      <c r="H2085" s="203"/>
      <c r="I2085" s="202"/>
      <c r="J2085" s="148"/>
      <c r="K2085" s="203"/>
      <c r="L2085" s="202"/>
      <c r="M2085" s="148"/>
      <c r="N2085" s="204"/>
      <c r="O2085" s="205"/>
      <c r="P2085" s="206"/>
      <c r="Q2085" s="206"/>
    </row>
    <row r="2086" spans="8:17" x14ac:dyDescent="0.3">
      <c r="H2086" s="203"/>
      <c r="I2086" s="202"/>
      <c r="J2086" s="148"/>
      <c r="K2086" s="203"/>
      <c r="L2086" s="202"/>
      <c r="M2086" s="148"/>
      <c r="N2086" s="204"/>
      <c r="O2086" s="205"/>
      <c r="P2086" s="206"/>
      <c r="Q2086" s="206"/>
    </row>
    <row r="2087" spans="8:17" x14ac:dyDescent="0.3">
      <c r="H2087" s="203"/>
      <c r="I2087" s="202"/>
      <c r="J2087" s="148"/>
      <c r="K2087" s="203"/>
      <c r="L2087" s="202"/>
      <c r="M2087" s="148"/>
      <c r="N2087" s="204"/>
      <c r="O2087" s="205"/>
      <c r="P2087" s="206"/>
      <c r="Q2087" s="206"/>
    </row>
    <row r="2088" spans="8:17" x14ac:dyDescent="0.3">
      <c r="H2088" s="203"/>
      <c r="I2088" s="202"/>
      <c r="J2088" s="148"/>
      <c r="K2088" s="203"/>
      <c r="L2088" s="202"/>
      <c r="M2088" s="148"/>
      <c r="N2088" s="204"/>
      <c r="O2088" s="205"/>
      <c r="P2088" s="206"/>
      <c r="Q2088" s="206"/>
    </row>
    <row r="2089" spans="8:17" x14ac:dyDescent="0.3">
      <c r="H2089" s="203"/>
      <c r="I2089" s="202"/>
      <c r="J2089" s="148"/>
      <c r="K2089" s="203"/>
      <c r="L2089" s="202"/>
      <c r="M2089" s="148"/>
      <c r="N2089" s="204"/>
      <c r="O2089" s="205"/>
      <c r="P2089" s="206"/>
      <c r="Q2089" s="206"/>
    </row>
    <row r="2090" spans="8:17" x14ac:dyDescent="0.3">
      <c r="H2090" s="203"/>
      <c r="I2090" s="202"/>
      <c r="J2090" s="148"/>
      <c r="K2090" s="203"/>
      <c r="L2090" s="202"/>
      <c r="M2090" s="148"/>
      <c r="N2090" s="204"/>
      <c r="O2090" s="205"/>
      <c r="P2090" s="206"/>
      <c r="Q2090" s="206"/>
    </row>
    <row r="2091" spans="8:17" x14ac:dyDescent="0.3">
      <c r="H2091" s="203"/>
      <c r="I2091" s="202"/>
      <c r="J2091" s="148"/>
      <c r="K2091" s="203"/>
      <c r="L2091" s="202"/>
      <c r="M2091" s="148"/>
      <c r="N2091" s="204"/>
      <c r="O2091" s="205"/>
      <c r="P2091" s="206"/>
      <c r="Q2091" s="206"/>
    </row>
    <row r="2092" spans="8:17" x14ac:dyDescent="0.3">
      <c r="H2092" s="203"/>
      <c r="I2092" s="202"/>
      <c r="J2092" s="148"/>
      <c r="K2092" s="203"/>
      <c r="L2092" s="202"/>
      <c r="M2092" s="148"/>
      <c r="N2092" s="204"/>
      <c r="O2092" s="205"/>
      <c r="P2092" s="206"/>
      <c r="Q2092" s="206"/>
    </row>
    <row r="2093" spans="8:17" x14ac:dyDescent="0.3">
      <c r="H2093" s="203"/>
      <c r="I2093" s="202"/>
      <c r="J2093" s="148"/>
      <c r="K2093" s="203"/>
      <c r="L2093" s="202"/>
      <c r="M2093" s="148"/>
      <c r="N2093" s="204"/>
      <c r="O2093" s="205"/>
      <c r="P2093" s="206"/>
      <c r="Q2093" s="206"/>
    </row>
    <row r="2094" spans="8:17" x14ac:dyDescent="0.3">
      <c r="H2094" s="203"/>
      <c r="I2094" s="202"/>
      <c r="J2094" s="148"/>
      <c r="K2094" s="203"/>
      <c r="L2094" s="202"/>
      <c r="M2094" s="148"/>
      <c r="N2094" s="204"/>
      <c r="O2094" s="205"/>
      <c r="P2094" s="206"/>
      <c r="Q2094" s="206"/>
    </row>
    <row r="2095" spans="8:17" x14ac:dyDescent="0.3">
      <c r="H2095" s="203"/>
      <c r="I2095" s="202"/>
      <c r="J2095" s="148"/>
      <c r="K2095" s="203"/>
      <c r="L2095" s="202"/>
      <c r="M2095" s="148"/>
      <c r="N2095" s="204"/>
      <c r="O2095" s="205"/>
      <c r="P2095" s="206"/>
      <c r="Q2095" s="206"/>
    </row>
    <row r="2096" spans="8:17" x14ac:dyDescent="0.3">
      <c r="H2096" s="203"/>
      <c r="I2096" s="202"/>
      <c r="J2096" s="148"/>
      <c r="K2096" s="203"/>
      <c r="L2096" s="202"/>
      <c r="M2096" s="148"/>
      <c r="N2096" s="204"/>
      <c r="O2096" s="205"/>
      <c r="P2096" s="206"/>
      <c r="Q2096" s="206"/>
    </row>
    <row r="2097" spans="8:17" x14ac:dyDescent="0.3">
      <c r="H2097" s="203"/>
      <c r="I2097" s="202"/>
      <c r="J2097" s="148"/>
      <c r="K2097" s="203"/>
      <c r="L2097" s="202"/>
      <c r="M2097" s="148"/>
      <c r="N2097" s="204"/>
      <c r="O2097" s="205"/>
      <c r="P2097" s="206"/>
      <c r="Q2097" s="206"/>
    </row>
    <row r="2098" spans="8:17" x14ac:dyDescent="0.3">
      <c r="H2098" s="203"/>
      <c r="I2098" s="202"/>
      <c r="J2098" s="148"/>
      <c r="K2098" s="203"/>
      <c r="L2098" s="202"/>
      <c r="M2098" s="148"/>
      <c r="N2098" s="204"/>
      <c r="O2098" s="205"/>
      <c r="P2098" s="206"/>
      <c r="Q2098" s="206"/>
    </row>
    <row r="2099" spans="8:17" x14ac:dyDescent="0.3">
      <c r="H2099" s="203"/>
      <c r="I2099" s="202"/>
      <c r="J2099" s="148"/>
      <c r="K2099" s="203"/>
      <c r="L2099" s="202"/>
      <c r="M2099" s="148"/>
      <c r="N2099" s="204"/>
      <c r="O2099" s="205"/>
      <c r="P2099" s="206"/>
      <c r="Q2099" s="206"/>
    </row>
    <row r="2100" spans="8:17" x14ac:dyDescent="0.3">
      <c r="H2100" s="203"/>
      <c r="I2100" s="202"/>
      <c r="J2100" s="148"/>
      <c r="K2100" s="203"/>
      <c r="L2100" s="202"/>
      <c r="M2100" s="148"/>
      <c r="N2100" s="204"/>
      <c r="O2100" s="205"/>
      <c r="P2100" s="206"/>
      <c r="Q2100" s="206"/>
    </row>
    <row r="2101" spans="8:17" x14ac:dyDescent="0.3">
      <c r="H2101" s="203"/>
      <c r="I2101" s="202"/>
      <c r="J2101" s="148"/>
      <c r="K2101" s="203"/>
      <c r="L2101" s="202"/>
      <c r="M2101" s="148"/>
      <c r="N2101" s="204"/>
      <c r="O2101" s="205"/>
      <c r="P2101" s="206"/>
      <c r="Q2101" s="206"/>
    </row>
    <row r="2102" spans="8:17" x14ac:dyDescent="0.3">
      <c r="H2102" s="203"/>
      <c r="I2102" s="202"/>
      <c r="J2102" s="148"/>
      <c r="K2102" s="203"/>
      <c r="L2102" s="202"/>
      <c r="M2102" s="148"/>
      <c r="N2102" s="204"/>
      <c r="O2102" s="205"/>
      <c r="P2102" s="206"/>
      <c r="Q2102" s="206"/>
    </row>
    <row r="2103" spans="8:17" x14ac:dyDescent="0.3">
      <c r="H2103" s="203"/>
      <c r="I2103" s="202"/>
      <c r="J2103" s="148"/>
      <c r="K2103" s="203"/>
      <c r="L2103" s="202"/>
      <c r="M2103" s="148"/>
      <c r="N2103" s="204"/>
      <c r="O2103" s="205"/>
      <c r="P2103" s="206"/>
      <c r="Q2103" s="206"/>
    </row>
    <row r="2104" spans="8:17" x14ac:dyDescent="0.3">
      <c r="H2104" s="203"/>
      <c r="I2104" s="202"/>
      <c r="J2104" s="148"/>
      <c r="K2104" s="203"/>
      <c r="L2104" s="202"/>
      <c r="M2104" s="148"/>
      <c r="N2104" s="204"/>
      <c r="O2104" s="205"/>
      <c r="P2104" s="206"/>
      <c r="Q2104" s="206"/>
    </row>
    <row r="2105" spans="8:17" x14ac:dyDescent="0.3">
      <c r="H2105" s="203"/>
      <c r="I2105" s="202"/>
      <c r="J2105" s="148"/>
      <c r="K2105" s="203"/>
      <c r="L2105" s="202"/>
      <c r="M2105" s="148"/>
      <c r="N2105" s="204"/>
      <c r="O2105" s="205"/>
      <c r="P2105" s="206"/>
      <c r="Q2105" s="206"/>
    </row>
    <row r="2106" spans="8:17" x14ac:dyDescent="0.3">
      <c r="H2106" s="203"/>
      <c r="I2106" s="202"/>
      <c r="J2106" s="148"/>
      <c r="K2106" s="203"/>
      <c r="L2106" s="202"/>
      <c r="M2106" s="148"/>
      <c r="N2106" s="204"/>
      <c r="O2106" s="205"/>
      <c r="P2106" s="206"/>
      <c r="Q2106" s="206"/>
    </row>
    <row r="2107" spans="8:17" x14ac:dyDescent="0.3">
      <c r="H2107" s="203"/>
      <c r="I2107" s="202"/>
      <c r="J2107" s="148"/>
      <c r="K2107" s="203"/>
      <c r="L2107" s="202"/>
      <c r="M2107" s="148"/>
      <c r="N2107" s="204"/>
      <c r="O2107" s="205"/>
      <c r="P2107" s="206"/>
      <c r="Q2107" s="206"/>
    </row>
    <row r="2108" spans="8:17" x14ac:dyDescent="0.3">
      <c r="H2108" s="203"/>
      <c r="I2108" s="202"/>
      <c r="J2108" s="148"/>
      <c r="K2108" s="203"/>
      <c r="L2108" s="202"/>
      <c r="M2108" s="148"/>
      <c r="N2108" s="204"/>
      <c r="O2108" s="205"/>
      <c r="P2108" s="206"/>
      <c r="Q2108" s="206"/>
    </row>
    <row r="2109" spans="8:17" x14ac:dyDescent="0.3">
      <c r="H2109" s="203"/>
      <c r="I2109" s="202"/>
      <c r="J2109" s="148"/>
      <c r="K2109" s="203"/>
      <c r="L2109" s="202"/>
      <c r="M2109" s="148"/>
      <c r="N2109" s="204"/>
      <c r="O2109" s="205"/>
      <c r="P2109" s="206"/>
      <c r="Q2109" s="206"/>
    </row>
    <row r="2110" spans="8:17" x14ac:dyDescent="0.3">
      <c r="H2110" s="203"/>
      <c r="I2110" s="202"/>
      <c r="J2110" s="148"/>
      <c r="K2110" s="203"/>
      <c r="L2110" s="202"/>
      <c r="M2110" s="148"/>
      <c r="N2110" s="204"/>
      <c r="O2110" s="205"/>
      <c r="P2110" s="206"/>
      <c r="Q2110" s="206"/>
    </row>
    <row r="2111" spans="8:17" x14ac:dyDescent="0.3">
      <c r="H2111" s="203"/>
      <c r="I2111" s="202"/>
      <c r="J2111" s="148"/>
      <c r="K2111" s="203"/>
      <c r="L2111" s="202"/>
      <c r="M2111" s="148"/>
      <c r="N2111" s="204"/>
      <c r="O2111" s="205"/>
      <c r="P2111" s="206"/>
      <c r="Q2111" s="206"/>
    </row>
    <row r="2112" spans="8:17" x14ac:dyDescent="0.3">
      <c r="H2112" s="203"/>
      <c r="I2112" s="202"/>
      <c r="J2112" s="148"/>
      <c r="K2112" s="203"/>
      <c r="L2112" s="202"/>
      <c r="M2112" s="148"/>
      <c r="N2112" s="204"/>
      <c r="O2112" s="205"/>
      <c r="P2112" s="206"/>
      <c r="Q2112" s="206"/>
    </row>
    <row r="2113" spans="8:17" x14ac:dyDescent="0.3">
      <c r="H2113" s="203"/>
      <c r="I2113" s="202"/>
      <c r="J2113" s="148"/>
      <c r="K2113" s="203"/>
      <c r="L2113" s="202"/>
      <c r="M2113" s="148"/>
      <c r="N2113" s="204"/>
      <c r="O2113" s="205"/>
      <c r="P2113" s="206"/>
      <c r="Q2113" s="206"/>
    </row>
    <row r="2114" spans="8:17" x14ac:dyDescent="0.3">
      <c r="H2114" s="203"/>
      <c r="I2114" s="202"/>
      <c r="J2114" s="148"/>
      <c r="K2114" s="203"/>
      <c r="L2114" s="202"/>
      <c r="M2114" s="148"/>
      <c r="N2114" s="204"/>
      <c r="O2114" s="205"/>
      <c r="P2114" s="206"/>
      <c r="Q2114" s="206"/>
    </row>
    <row r="2115" spans="8:17" x14ac:dyDescent="0.3">
      <c r="H2115" s="203"/>
      <c r="I2115" s="202"/>
      <c r="J2115" s="148"/>
      <c r="K2115" s="203"/>
      <c r="L2115" s="202"/>
      <c r="M2115" s="148"/>
      <c r="N2115" s="204"/>
      <c r="O2115" s="205"/>
      <c r="P2115" s="206"/>
      <c r="Q2115" s="206"/>
    </row>
    <row r="2116" spans="8:17" x14ac:dyDescent="0.3">
      <c r="H2116" s="203"/>
      <c r="I2116" s="202"/>
      <c r="J2116" s="148"/>
      <c r="K2116" s="203"/>
      <c r="L2116" s="202"/>
      <c r="M2116" s="148"/>
      <c r="N2116" s="204"/>
      <c r="O2116" s="205"/>
      <c r="P2116" s="206"/>
      <c r="Q2116" s="206"/>
    </row>
    <row r="2117" spans="8:17" x14ac:dyDescent="0.3">
      <c r="H2117" s="203"/>
      <c r="I2117" s="202"/>
      <c r="J2117" s="148"/>
      <c r="K2117" s="203"/>
      <c r="L2117" s="202"/>
      <c r="M2117" s="148"/>
      <c r="N2117" s="204"/>
      <c r="O2117" s="205"/>
      <c r="P2117" s="206"/>
      <c r="Q2117" s="206"/>
    </row>
    <row r="2118" spans="8:17" x14ac:dyDescent="0.3">
      <c r="H2118" s="203"/>
      <c r="I2118" s="202"/>
      <c r="J2118" s="148"/>
      <c r="K2118" s="203"/>
      <c r="L2118" s="202"/>
      <c r="M2118" s="148"/>
      <c r="N2118" s="204"/>
      <c r="O2118" s="205"/>
      <c r="P2118" s="206"/>
      <c r="Q2118" s="206"/>
    </row>
    <row r="2119" spans="8:17" x14ac:dyDescent="0.3">
      <c r="H2119" s="203"/>
      <c r="I2119" s="202"/>
      <c r="J2119" s="148"/>
      <c r="K2119" s="203"/>
      <c r="L2119" s="202"/>
      <c r="M2119" s="148"/>
      <c r="N2119" s="204"/>
      <c r="O2119" s="205"/>
      <c r="P2119" s="206"/>
      <c r="Q2119" s="206"/>
    </row>
    <row r="2120" spans="8:17" x14ac:dyDescent="0.3">
      <c r="H2120" s="203"/>
      <c r="I2120" s="202"/>
      <c r="J2120" s="148"/>
      <c r="K2120" s="203"/>
      <c r="L2120" s="202"/>
      <c r="M2120" s="148"/>
      <c r="N2120" s="204"/>
      <c r="O2120" s="205"/>
      <c r="P2120" s="206"/>
      <c r="Q2120" s="206"/>
    </row>
    <row r="2121" spans="8:17" x14ac:dyDescent="0.3">
      <c r="H2121" s="203"/>
      <c r="I2121" s="202"/>
      <c r="J2121" s="148"/>
      <c r="K2121" s="203"/>
      <c r="L2121" s="202"/>
      <c r="M2121" s="148"/>
      <c r="N2121" s="204"/>
      <c r="O2121" s="205"/>
      <c r="P2121" s="206"/>
      <c r="Q2121" s="206"/>
    </row>
    <row r="2122" spans="8:17" x14ac:dyDescent="0.3">
      <c r="H2122" s="203"/>
      <c r="I2122" s="202"/>
      <c r="J2122" s="148"/>
      <c r="K2122" s="203"/>
      <c r="L2122" s="202"/>
      <c r="M2122" s="148"/>
      <c r="N2122" s="204"/>
      <c r="O2122" s="205"/>
      <c r="P2122" s="206"/>
      <c r="Q2122" s="206"/>
    </row>
    <row r="2123" spans="8:17" x14ac:dyDescent="0.3">
      <c r="H2123" s="203"/>
      <c r="I2123" s="202"/>
      <c r="J2123" s="148"/>
      <c r="K2123" s="203"/>
      <c r="L2123" s="202"/>
      <c r="M2123" s="148"/>
      <c r="N2123" s="204"/>
      <c r="O2123" s="205"/>
      <c r="P2123" s="206"/>
      <c r="Q2123" s="206"/>
    </row>
    <row r="2124" spans="8:17" x14ac:dyDescent="0.3">
      <c r="H2124" s="203"/>
      <c r="I2124" s="202"/>
      <c r="J2124" s="148"/>
      <c r="K2124" s="203"/>
      <c r="L2124" s="202"/>
      <c r="M2124" s="148"/>
      <c r="N2124" s="204"/>
      <c r="O2124" s="205"/>
      <c r="P2124" s="206"/>
      <c r="Q2124" s="206"/>
    </row>
    <row r="2125" spans="8:17" x14ac:dyDescent="0.3">
      <c r="H2125" s="203"/>
      <c r="I2125" s="202"/>
      <c r="J2125" s="148"/>
      <c r="K2125" s="203"/>
      <c r="L2125" s="202"/>
      <c r="M2125" s="148"/>
      <c r="N2125" s="204"/>
      <c r="O2125" s="205"/>
      <c r="P2125" s="206"/>
      <c r="Q2125" s="206"/>
    </row>
    <row r="2126" spans="8:17" x14ac:dyDescent="0.3">
      <c r="H2126" s="203"/>
      <c r="I2126" s="202"/>
      <c r="J2126" s="148"/>
      <c r="K2126" s="203"/>
      <c r="L2126" s="202"/>
      <c r="M2126" s="148"/>
      <c r="N2126" s="204"/>
      <c r="O2126" s="205"/>
      <c r="P2126" s="206"/>
      <c r="Q2126" s="206"/>
    </row>
    <row r="2127" spans="8:17" x14ac:dyDescent="0.3">
      <c r="H2127" s="203"/>
      <c r="I2127" s="202"/>
      <c r="J2127" s="148"/>
      <c r="K2127" s="203"/>
      <c r="L2127" s="202"/>
      <c r="M2127" s="148"/>
      <c r="N2127" s="204"/>
      <c r="O2127" s="205"/>
      <c r="P2127" s="206"/>
      <c r="Q2127" s="206"/>
    </row>
    <row r="2128" spans="8:17" x14ac:dyDescent="0.3">
      <c r="H2128" s="203"/>
      <c r="I2128" s="202"/>
      <c r="J2128" s="148"/>
      <c r="K2128" s="203"/>
      <c r="L2128" s="202"/>
      <c r="M2128" s="148"/>
      <c r="N2128" s="204"/>
      <c r="O2128" s="205"/>
      <c r="P2128" s="206"/>
      <c r="Q2128" s="206"/>
    </row>
    <row r="2129" spans="8:17" x14ac:dyDescent="0.3">
      <c r="H2129" s="203"/>
      <c r="I2129" s="202"/>
      <c r="J2129" s="148"/>
      <c r="K2129" s="203"/>
      <c r="L2129" s="202"/>
      <c r="M2129" s="148"/>
      <c r="N2129" s="204"/>
      <c r="O2129" s="205"/>
      <c r="P2129" s="206"/>
      <c r="Q2129" s="206"/>
    </row>
    <row r="2130" spans="8:17" x14ac:dyDescent="0.3">
      <c r="H2130" s="203"/>
      <c r="I2130" s="202"/>
      <c r="J2130" s="148"/>
      <c r="K2130" s="203"/>
      <c r="L2130" s="202"/>
      <c r="M2130" s="148"/>
      <c r="N2130" s="204"/>
      <c r="O2130" s="205"/>
      <c r="P2130" s="206"/>
      <c r="Q2130" s="206"/>
    </row>
    <row r="2131" spans="8:17" x14ac:dyDescent="0.3">
      <c r="H2131" s="203"/>
      <c r="I2131" s="202"/>
      <c r="J2131" s="148"/>
      <c r="K2131" s="203"/>
      <c r="L2131" s="202"/>
      <c r="M2131" s="148"/>
      <c r="N2131" s="204"/>
      <c r="O2131" s="205"/>
      <c r="P2131" s="206"/>
      <c r="Q2131" s="206"/>
    </row>
    <row r="2132" spans="8:17" x14ac:dyDescent="0.3">
      <c r="H2132" s="203"/>
      <c r="I2132" s="202"/>
      <c r="J2132" s="148"/>
      <c r="K2132" s="203"/>
      <c r="L2132" s="202"/>
      <c r="M2132" s="148"/>
      <c r="N2132" s="204"/>
      <c r="O2132" s="205"/>
      <c r="P2132" s="206"/>
      <c r="Q2132" s="206"/>
    </row>
    <row r="2133" spans="8:17" x14ac:dyDescent="0.3">
      <c r="H2133" s="203"/>
      <c r="I2133" s="202"/>
      <c r="J2133" s="148"/>
      <c r="K2133" s="203"/>
      <c r="L2133" s="202"/>
      <c r="M2133" s="148"/>
      <c r="N2133" s="204"/>
      <c r="O2133" s="205"/>
      <c r="P2133" s="206"/>
      <c r="Q2133" s="206"/>
    </row>
    <row r="2134" spans="8:17" x14ac:dyDescent="0.3">
      <c r="H2134" s="203"/>
      <c r="I2134" s="202"/>
      <c r="J2134" s="148"/>
      <c r="K2134" s="203"/>
      <c r="L2134" s="202"/>
      <c r="M2134" s="148"/>
      <c r="N2134" s="204"/>
      <c r="O2134" s="205"/>
      <c r="P2134" s="206"/>
      <c r="Q2134" s="206"/>
    </row>
    <row r="2135" spans="8:17" x14ac:dyDescent="0.3">
      <c r="H2135" s="203"/>
      <c r="I2135" s="202"/>
      <c r="J2135" s="148"/>
      <c r="K2135" s="203"/>
      <c r="L2135" s="202"/>
      <c r="M2135" s="148"/>
      <c r="N2135" s="204"/>
      <c r="O2135" s="205"/>
      <c r="P2135" s="206"/>
      <c r="Q2135" s="206"/>
    </row>
    <row r="2136" spans="8:17" x14ac:dyDescent="0.3">
      <c r="H2136" s="203"/>
      <c r="I2136" s="202"/>
      <c r="J2136" s="148"/>
      <c r="K2136" s="203"/>
      <c r="L2136" s="202"/>
      <c r="M2136" s="148"/>
      <c r="N2136" s="204"/>
      <c r="O2136" s="205"/>
      <c r="P2136" s="206"/>
      <c r="Q2136" s="206"/>
    </row>
    <row r="2137" spans="8:17" x14ac:dyDescent="0.3">
      <c r="H2137" s="203"/>
      <c r="I2137" s="202"/>
      <c r="J2137" s="148"/>
      <c r="K2137" s="203"/>
      <c r="L2137" s="202"/>
      <c r="M2137" s="148"/>
      <c r="N2137" s="204"/>
      <c r="O2137" s="205"/>
      <c r="P2137" s="206"/>
      <c r="Q2137" s="206"/>
    </row>
    <row r="2138" spans="8:17" x14ac:dyDescent="0.3">
      <c r="H2138" s="203"/>
      <c r="I2138" s="202"/>
      <c r="J2138" s="148"/>
      <c r="K2138" s="203"/>
      <c r="L2138" s="202"/>
      <c r="M2138" s="148"/>
      <c r="N2138" s="204"/>
      <c r="O2138" s="205"/>
      <c r="P2138" s="206"/>
      <c r="Q2138" s="206"/>
    </row>
    <row r="2139" spans="8:17" x14ac:dyDescent="0.3">
      <c r="H2139" s="203"/>
      <c r="I2139" s="202"/>
      <c r="J2139" s="148"/>
      <c r="K2139" s="203"/>
      <c r="L2139" s="202"/>
      <c r="M2139" s="148"/>
      <c r="N2139" s="204"/>
      <c r="O2139" s="205"/>
      <c r="P2139" s="206"/>
      <c r="Q2139" s="206"/>
    </row>
    <row r="2140" spans="8:17" x14ac:dyDescent="0.3">
      <c r="H2140" s="203"/>
      <c r="I2140" s="202"/>
      <c r="J2140" s="148"/>
      <c r="K2140" s="203"/>
      <c r="L2140" s="202"/>
      <c r="M2140" s="148"/>
      <c r="N2140" s="204"/>
      <c r="O2140" s="205"/>
      <c r="P2140" s="206"/>
      <c r="Q2140" s="206"/>
    </row>
    <row r="2141" spans="8:17" x14ac:dyDescent="0.3">
      <c r="H2141" s="203"/>
      <c r="I2141" s="202"/>
      <c r="J2141" s="148"/>
      <c r="K2141" s="203"/>
      <c r="L2141" s="202"/>
      <c r="M2141" s="148"/>
      <c r="N2141" s="204"/>
      <c r="O2141" s="205"/>
      <c r="P2141" s="206"/>
      <c r="Q2141" s="206"/>
    </row>
    <row r="2142" spans="8:17" x14ac:dyDescent="0.3">
      <c r="H2142" s="203"/>
      <c r="I2142" s="202"/>
      <c r="J2142" s="148"/>
      <c r="K2142" s="203"/>
      <c r="L2142" s="202"/>
      <c r="M2142" s="148"/>
      <c r="N2142" s="204"/>
      <c r="O2142" s="205"/>
      <c r="P2142" s="206"/>
      <c r="Q2142" s="206"/>
    </row>
    <row r="2143" spans="8:17" x14ac:dyDescent="0.3">
      <c r="H2143" s="203"/>
      <c r="I2143" s="202"/>
      <c r="J2143" s="148"/>
      <c r="K2143" s="203"/>
      <c r="L2143" s="202"/>
      <c r="M2143" s="148"/>
      <c r="N2143" s="204"/>
      <c r="O2143" s="205"/>
      <c r="P2143" s="206"/>
      <c r="Q2143" s="206"/>
    </row>
    <row r="2144" spans="8:17" x14ac:dyDescent="0.3">
      <c r="H2144" s="203"/>
      <c r="I2144" s="202"/>
      <c r="J2144" s="148"/>
      <c r="K2144" s="203"/>
      <c r="L2144" s="202"/>
      <c r="M2144" s="148"/>
      <c r="N2144" s="204"/>
      <c r="O2144" s="205"/>
      <c r="P2144" s="206"/>
      <c r="Q2144" s="206"/>
    </row>
    <row r="2145" spans="8:17" x14ac:dyDescent="0.3">
      <c r="H2145" s="203"/>
      <c r="I2145" s="202"/>
      <c r="J2145" s="148"/>
      <c r="K2145" s="203"/>
      <c r="L2145" s="202"/>
      <c r="M2145" s="148"/>
      <c r="N2145" s="204"/>
      <c r="O2145" s="205"/>
      <c r="P2145" s="206"/>
      <c r="Q2145" s="206"/>
    </row>
    <row r="2146" spans="8:17" x14ac:dyDescent="0.3">
      <c r="H2146" s="203"/>
      <c r="I2146" s="202"/>
      <c r="J2146" s="148"/>
      <c r="K2146" s="203"/>
      <c r="L2146" s="202"/>
      <c r="M2146" s="148"/>
      <c r="N2146" s="204"/>
      <c r="O2146" s="205"/>
      <c r="P2146" s="206"/>
      <c r="Q2146" s="206"/>
    </row>
    <row r="2147" spans="8:17" x14ac:dyDescent="0.3">
      <c r="H2147" s="203"/>
      <c r="I2147" s="202"/>
      <c r="J2147" s="148"/>
      <c r="K2147" s="203"/>
      <c r="L2147" s="202"/>
      <c r="M2147" s="148"/>
      <c r="N2147" s="204"/>
      <c r="O2147" s="205"/>
      <c r="P2147" s="206"/>
      <c r="Q2147" s="206"/>
    </row>
    <row r="2148" spans="8:17" x14ac:dyDescent="0.3">
      <c r="H2148" s="203"/>
      <c r="I2148" s="202"/>
      <c r="J2148" s="148"/>
      <c r="K2148" s="203"/>
      <c r="L2148" s="202"/>
      <c r="M2148" s="148"/>
      <c r="N2148" s="204"/>
      <c r="O2148" s="205"/>
      <c r="P2148" s="206"/>
      <c r="Q2148" s="206"/>
    </row>
    <row r="2149" spans="8:17" x14ac:dyDescent="0.3">
      <c r="H2149" s="203"/>
      <c r="I2149" s="202"/>
      <c r="J2149" s="148"/>
      <c r="K2149" s="203"/>
      <c r="L2149" s="202"/>
      <c r="M2149" s="148"/>
      <c r="N2149" s="204"/>
      <c r="O2149" s="205"/>
      <c r="P2149" s="206"/>
      <c r="Q2149" s="206"/>
    </row>
    <row r="2150" spans="8:17" x14ac:dyDescent="0.3">
      <c r="H2150" s="203"/>
      <c r="I2150" s="202"/>
      <c r="J2150" s="148"/>
      <c r="K2150" s="203"/>
      <c r="L2150" s="202"/>
      <c r="M2150" s="148"/>
      <c r="N2150" s="204"/>
      <c r="O2150" s="205"/>
      <c r="P2150" s="206"/>
      <c r="Q2150" s="206"/>
    </row>
    <row r="2151" spans="8:17" x14ac:dyDescent="0.3">
      <c r="H2151" s="203"/>
      <c r="I2151" s="202"/>
      <c r="J2151" s="148"/>
      <c r="K2151" s="203"/>
      <c r="L2151" s="202"/>
      <c r="M2151" s="148"/>
      <c r="N2151" s="204"/>
      <c r="O2151" s="205"/>
      <c r="P2151" s="206"/>
      <c r="Q2151" s="206"/>
    </row>
    <row r="2152" spans="8:17" x14ac:dyDescent="0.3">
      <c r="H2152" s="203"/>
      <c r="I2152" s="202"/>
      <c r="J2152" s="148"/>
      <c r="K2152" s="203"/>
      <c r="L2152" s="202"/>
      <c r="M2152" s="148"/>
      <c r="N2152" s="204"/>
      <c r="O2152" s="205"/>
      <c r="P2152" s="206"/>
      <c r="Q2152" s="206"/>
    </row>
    <row r="2153" spans="8:17" x14ac:dyDescent="0.3">
      <c r="H2153" s="203"/>
      <c r="I2153" s="202"/>
      <c r="J2153" s="148"/>
      <c r="K2153" s="203"/>
      <c r="L2153" s="202"/>
      <c r="M2153" s="148"/>
      <c r="N2153" s="204"/>
      <c r="O2153" s="205"/>
      <c r="P2153" s="206"/>
      <c r="Q2153" s="206"/>
    </row>
    <row r="2154" spans="8:17" x14ac:dyDescent="0.3">
      <c r="H2154" s="203"/>
      <c r="I2154" s="202"/>
      <c r="J2154" s="148"/>
      <c r="K2154" s="203"/>
      <c r="L2154" s="202"/>
      <c r="M2154" s="148"/>
      <c r="N2154" s="204"/>
      <c r="O2154" s="205"/>
      <c r="P2154" s="206"/>
      <c r="Q2154" s="206"/>
    </row>
    <row r="2155" spans="8:17" x14ac:dyDescent="0.3">
      <c r="H2155" s="203"/>
      <c r="I2155" s="202"/>
      <c r="J2155" s="148"/>
      <c r="K2155" s="203"/>
      <c r="L2155" s="202"/>
      <c r="M2155" s="148"/>
      <c r="N2155" s="204"/>
      <c r="O2155" s="205"/>
      <c r="P2155" s="206"/>
      <c r="Q2155" s="206"/>
    </row>
    <row r="2156" spans="8:17" x14ac:dyDescent="0.3">
      <c r="H2156" s="203"/>
      <c r="I2156" s="202"/>
      <c r="J2156" s="148"/>
      <c r="K2156" s="203"/>
      <c r="L2156" s="202"/>
      <c r="M2156" s="148"/>
      <c r="N2156" s="204"/>
      <c r="O2156" s="205"/>
      <c r="P2156" s="206"/>
      <c r="Q2156" s="206"/>
    </row>
    <row r="2157" spans="8:17" x14ac:dyDescent="0.3">
      <c r="H2157" s="203"/>
      <c r="I2157" s="202"/>
      <c r="J2157" s="148"/>
      <c r="K2157" s="203"/>
      <c r="L2157" s="202"/>
      <c r="M2157" s="148"/>
      <c r="N2157" s="204"/>
      <c r="O2157" s="205"/>
      <c r="P2157" s="206"/>
      <c r="Q2157" s="206"/>
    </row>
    <row r="2158" spans="8:17" x14ac:dyDescent="0.3">
      <c r="H2158" s="203"/>
      <c r="I2158" s="202"/>
      <c r="J2158" s="148"/>
      <c r="K2158" s="203"/>
      <c r="L2158" s="202"/>
      <c r="M2158" s="148"/>
      <c r="N2158" s="204"/>
      <c r="O2158" s="205"/>
      <c r="P2158" s="206"/>
      <c r="Q2158" s="206"/>
    </row>
    <row r="2159" spans="8:17" x14ac:dyDescent="0.3">
      <c r="H2159" s="203"/>
      <c r="I2159" s="202"/>
      <c r="J2159" s="148"/>
      <c r="K2159" s="203"/>
      <c r="L2159" s="202"/>
      <c r="M2159" s="148"/>
      <c r="N2159" s="204"/>
      <c r="O2159" s="205"/>
      <c r="P2159" s="206"/>
      <c r="Q2159" s="206"/>
    </row>
    <row r="2160" spans="8:17" x14ac:dyDescent="0.3">
      <c r="H2160" s="203"/>
      <c r="I2160" s="202"/>
      <c r="J2160" s="148"/>
      <c r="K2160" s="203"/>
      <c r="L2160" s="202"/>
      <c r="M2160" s="148"/>
      <c r="N2160" s="204"/>
      <c r="O2160" s="205"/>
      <c r="P2160" s="206"/>
      <c r="Q2160" s="206"/>
    </row>
    <row r="2161" spans="8:17" x14ac:dyDescent="0.3">
      <c r="H2161" s="203"/>
      <c r="I2161" s="202"/>
      <c r="J2161" s="148"/>
      <c r="K2161" s="203"/>
      <c r="L2161" s="202"/>
      <c r="M2161" s="148"/>
      <c r="N2161" s="204"/>
      <c r="O2161" s="205"/>
      <c r="P2161" s="206"/>
      <c r="Q2161" s="206"/>
    </row>
    <row r="2162" spans="8:17" x14ac:dyDescent="0.3">
      <c r="H2162" s="203"/>
      <c r="I2162" s="202"/>
      <c r="J2162" s="148"/>
      <c r="K2162" s="203"/>
      <c r="L2162" s="202"/>
      <c r="M2162" s="148"/>
      <c r="N2162" s="204"/>
      <c r="O2162" s="205"/>
      <c r="P2162" s="206"/>
      <c r="Q2162" s="206"/>
    </row>
    <row r="2163" spans="8:17" x14ac:dyDescent="0.3">
      <c r="H2163" s="203"/>
      <c r="I2163" s="202"/>
      <c r="J2163" s="148"/>
      <c r="K2163" s="203"/>
      <c r="L2163" s="202"/>
      <c r="M2163" s="148"/>
      <c r="N2163" s="204"/>
      <c r="O2163" s="205"/>
      <c r="P2163" s="206"/>
      <c r="Q2163" s="206"/>
    </row>
    <row r="2164" spans="8:17" x14ac:dyDescent="0.3">
      <c r="H2164" s="203"/>
      <c r="I2164" s="202"/>
      <c r="J2164" s="148"/>
      <c r="K2164" s="203"/>
      <c r="L2164" s="202"/>
      <c r="M2164" s="148"/>
      <c r="N2164" s="204"/>
      <c r="O2164" s="205"/>
      <c r="P2164" s="206"/>
      <c r="Q2164" s="206"/>
    </row>
    <row r="2165" spans="8:17" x14ac:dyDescent="0.3">
      <c r="H2165" s="203"/>
      <c r="I2165" s="202"/>
      <c r="J2165" s="148"/>
      <c r="K2165" s="203"/>
      <c r="L2165" s="202"/>
      <c r="M2165" s="148"/>
      <c r="N2165" s="204"/>
      <c r="O2165" s="205"/>
      <c r="P2165" s="206"/>
      <c r="Q2165" s="206"/>
    </row>
    <row r="2166" spans="8:17" x14ac:dyDescent="0.3">
      <c r="H2166" s="203"/>
      <c r="I2166" s="202"/>
      <c r="J2166" s="148"/>
      <c r="K2166" s="203"/>
      <c r="L2166" s="202"/>
      <c r="M2166" s="148"/>
      <c r="N2166" s="204"/>
      <c r="O2166" s="205"/>
      <c r="P2166" s="206"/>
      <c r="Q2166" s="206"/>
    </row>
    <row r="2167" spans="8:17" x14ac:dyDescent="0.3">
      <c r="H2167" s="203"/>
      <c r="I2167" s="202"/>
      <c r="J2167" s="148"/>
      <c r="K2167" s="203"/>
      <c r="L2167" s="202"/>
      <c r="M2167" s="148"/>
      <c r="N2167" s="204"/>
      <c r="O2167" s="205"/>
      <c r="P2167" s="206"/>
      <c r="Q2167" s="206"/>
    </row>
    <row r="2168" spans="8:17" x14ac:dyDescent="0.3">
      <c r="H2168" s="203"/>
      <c r="I2168" s="202"/>
      <c r="J2168" s="148"/>
      <c r="K2168" s="203"/>
      <c r="L2168" s="202"/>
      <c r="M2168" s="148"/>
      <c r="N2168" s="204"/>
      <c r="O2168" s="205"/>
      <c r="P2168" s="206"/>
      <c r="Q2168" s="206"/>
    </row>
    <row r="2169" spans="8:17" x14ac:dyDescent="0.3">
      <c r="H2169" s="203"/>
      <c r="I2169" s="202"/>
      <c r="J2169" s="148"/>
      <c r="K2169" s="203"/>
      <c r="L2169" s="202"/>
      <c r="M2169" s="148"/>
      <c r="N2169" s="204"/>
      <c r="O2169" s="205"/>
      <c r="P2169" s="206"/>
      <c r="Q2169" s="206"/>
    </row>
    <row r="2170" spans="8:17" x14ac:dyDescent="0.3">
      <c r="H2170" s="203"/>
      <c r="I2170" s="202"/>
      <c r="J2170" s="148"/>
      <c r="K2170" s="203"/>
      <c r="L2170" s="202"/>
      <c r="M2170" s="148"/>
      <c r="N2170" s="204"/>
      <c r="O2170" s="205"/>
      <c r="P2170" s="206"/>
      <c r="Q2170" s="206"/>
    </row>
    <row r="2171" spans="8:17" x14ac:dyDescent="0.3">
      <c r="H2171" s="203"/>
      <c r="I2171" s="202"/>
      <c r="J2171" s="148"/>
      <c r="K2171" s="203"/>
      <c r="L2171" s="202"/>
      <c r="M2171" s="148"/>
      <c r="N2171" s="204"/>
      <c r="O2171" s="205"/>
      <c r="P2171" s="206"/>
      <c r="Q2171" s="206"/>
    </row>
    <row r="2172" spans="8:17" x14ac:dyDescent="0.3">
      <c r="H2172" s="203"/>
      <c r="I2172" s="202"/>
      <c r="J2172" s="148"/>
      <c r="K2172" s="203"/>
      <c r="L2172" s="202"/>
      <c r="M2172" s="148"/>
      <c r="N2172" s="204"/>
      <c r="O2172" s="205"/>
      <c r="P2172" s="206"/>
      <c r="Q2172" s="206"/>
    </row>
    <row r="2173" spans="8:17" x14ac:dyDescent="0.3">
      <c r="H2173" s="203"/>
      <c r="I2173" s="202"/>
      <c r="J2173" s="148"/>
      <c r="K2173" s="203"/>
      <c r="L2173" s="202"/>
      <c r="M2173" s="148"/>
      <c r="N2173" s="204"/>
      <c r="O2173" s="205"/>
      <c r="P2173" s="206"/>
      <c r="Q2173" s="206"/>
    </row>
    <row r="2174" spans="8:17" x14ac:dyDescent="0.3">
      <c r="H2174" s="203"/>
      <c r="I2174" s="202"/>
      <c r="J2174" s="148"/>
      <c r="K2174" s="203"/>
      <c r="L2174" s="202"/>
      <c r="M2174" s="148"/>
      <c r="N2174" s="204"/>
      <c r="O2174" s="205"/>
      <c r="P2174" s="206"/>
      <c r="Q2174" s="206"/>
    </row>
    <row r="2175" spans="8:17" x14ac:dyDescent="0.3">
      <c r="H2175" s="203"/>
      <c r="I2175" s="202"/>
      <c r="J2175" s="148"/>
      <c r="K2175" s="203"/>
      <c r="L2175" s="202"/>
      <c r="M2175" s="148"/>
      <c r="N2175" s="204"/>
      <c r="O2175" s="205"/>
      <c r="P2175" s="206"/>
      <c r="Q2175" s="206"/>
    </row>
    <row r="2176" spans="8:17" x14ac:dyDescent="0.3">
      <c r="H2176" s="203"/>
      <c r="I2176" s="202"/>
      <c r="J2176" s="148"/>
      <c r="K2176" s="203"/>
      <c r="L2176" s="202"/>
      <c r="M2176" s="148"/>
      <c r="N2176" s="204"/>
      <c r="O2176" s="205"/>
      <c r="P2176" s="206"/>
      <c r="Q2176" s="206"/>
    </row>
    <row r="2177" spans="8:17" x14ac:dyDescent="0.3">
      <c r="H2177" s="203"/>
      <c r="I2177" s="202"/>
      <c r="J2177" s="148"/>
      <c r="K2177" s="203"/>
      <c r="L2177" s="202"/>
      <c r="M2177" s="148"/>
      <c r="N2177" s="204"/>
      <c r="O2177" s="205"/>
      <c r="P2177" s="206"/>
      <c r="Q2177" s="206"/>
    </row>
    <row r="2178" spans="8:17" x14ac:dyDescent="0.3">
      <c r="H2178" s="203"/>
      <c r="I2178" s="202"/>
      <c r="J2178" s="148"/>
      <c r="K2178" s="203"/>
      <c r="L2178" s="202"/>
      <c r="M2178" s="148"/>
      <c r="N2178" s="204"/>
      <c r="O2178" s="205"/>
      <c r="P2178" s="206"/>
      <c r="Q2178" s="206"/>
    </row>
    <row r="2179" spans="8:17" x14ac:dyDescent="0.3">
      <c r="H2179" s="203"/>
      <c r="I2179" s="202"/>
      <c r="J2179" s="148"/>
      <c r="K2179" s="203"/>
      <c r="L2179" s="202"/>
      <c r="M2179" s="148"/>
      <c r="N2179" s="204"/>
      <c r="O2179" s="205"/>
      <c r="P2179" s="206"/>
      <c r="Q2179" s="206"/>
    </row>
    <row r="2180" spans="8:17" x14ac:dyDescent="0.3">
      <c r="H2180" s="203"/>
      <c r="I2180" s="202"/>
      <c r="J2180" s="148"/>
      <c r="K2180" s="203"/>
      <c r="L2180" s="202"/>
      <c r="M2180" s="148"/>
      <c r="N2180" s="204"/>
      <c r="O2180" s="205"/>
      <c r="P2180" s="206"/>
      <c r="Q2180" s="206"/>
    </row>
    <row r="2181" spans="8:17" x14ac:dyDescent="0.3">
      <c r="H2181" s="203"/>
      <c r="I2181" s="202"/>
      <c r="J2181" s="148"/>
      <c r="K2181" s="203"/>
      <c r="L2181" s="202"/>
      <c r="M2181" s="148"/>
      <c r="N2181" s="204"/>
      <c r="O2181" s="205"/>
      <c r="P2181" s="206"/>
      <c r="Q2181" s="206"/>
    </row>
    <row r="2182" spans="8:17" x14ac:dyDescent="0.3">
      <c r="H2182" s="203"/>
      <c r="I2182" s="202"/>
      <c r="J2182" s="148"/>
      <c r="K2182" s="203"/>
      <c r="L2182" s="202"/>
      <c r="M2182" s="148"/>
      <c r="N2182" s="204"/>
      <c r="O2182" s="205"/>
      <c r="P2182" s="206"/>
      <c r="Q2182" s="206"/>
    </row>
    <row r="2183" spans="8:17" x14ac:dyDescent="0.3">
      <c r="H2183" s="203"/>
      <c r="I2183" s="202"/>
      <c r="J2183" s="148"/>
      <c r="K2183" s="203"/>
      <c r="L2183" s="202"/>
      <c r="M2183" s="148"/>
      <c r="N2183" s="204"/>
      <c r="O2183" s="205"/>
      <c r="P2183" s="206"/>
      <c r="Q2183" s="206"/>
    </row>
    <row r="2184" spans="8:17" x14ac:dyDescent="0.3">
      <c r="H2184" s="203"/>
      <c r="I2184" s="202"/>
      <c r="J2184" s="148"/>
      <c r="K2184" s="203"/>
      <c r="L2184" s="202"/>
      <c r="M2184" s="148"/>
      <c r="N2184" s="204"/>
      <c r="O2184" s="205"/>
      <c r="P2184" s="206"/>
      <c r="Q2184" s="206"/>
    </row>
    <row r="2185" spans="8:17" x14ac:dyDescent="0.3">
      <c r="H2185" s="203"/>
      <c r="I2185" s="202"/>
      <c r="J2185" s="148"/>
      <c r="K2185" s="203"/>
      <c r="L2185" s="202"/>
      <c r="M2185" s="148"/>
      <c r="N2185" s="204"/>
      <c r="O2185" s="205"/>
      <c r="P2185" s="206"/>
      <c r="Q2185" s="206"/>
    </row>
    <row r="2186" spans="8:17" x14ac:dyDescent="0.3">
      <c r="H2186" s="203"/>
      <c r="I2186" s="202"/>
      <c r="J2186" s="148"/>
      <c r="K2186" s="203"/>
      <c r="L2186" s="202"/>
      <c r="M2186" s="148"/>
      <c r="N2186" s="204"/>
      <c r="O2186" s="205"/>
      <c r="P2186" s="206"/>
      <c r="Q2186" s="206"/>
    </row>
    <row r="2187" spans="8:17" x14ac:dyDescent="0.3">
      <c r="H2187" s="203"/>
      <c r="I2187" s="202"/>
      <c r="J2187" s="148"/>
      <c r="K2187" s="203"/>
      <c r="L2187" s="202"/>
      <c r="M2187" s="148"/>
      <c r="N2187" s="204"/>
      <c r="O2187" s="205"/>
      <c r="P2187" s="206"/>
      <c r="Q2187" s="206"/>
    </row>
    <row r="2188" spans="8:17" x14ac:dyDescent="0.3">
      <c r="H2188" s="203"/>
      <c r="I2188" s="202"/>
      <c r="J2188" s="148"/>
      <c r="K2188" s="203"/>
      <c r="L2188" s="202"/>
      <c r="M2188" s="148"/>
      <c r="N2188" s="204"/>
      <c r="O2188" s="205"/>
      <c r="P2188" s="206"/>
      <c r="Q2188" s="206"/>
    </row>
    <row r="2189" spans="8:17" x14ac:dyDescent="0.3">
      <c r="H2189" s="203"/>
      <c r="I2189" s="202"/>
      <c r="J2189" s="148"/>
      <c r="K2189" s="203"/>
      <c r="L2189" s="202"/>
      <c r="M2189" s="148"/>
      <c r="N2189" s="204"/>
      <c r="O2189" s="205"/>
      <c r="P2189" s="206"/>
      <c r="Q2189" s="206"/>
    </row>
    <row r="2190" spans="8:17" x14ac:dyDescent="0.3">
      <c r="H2190" s="203"/>
      <c r="I2190" s="202"/>
      <c r="J2190" s="148"/>
      <c r="K2190" s="203"/>
      <c r="L2190" s="202"/>
      <c r="M2190" s="148"/>
      <c r="N2190" s="204"/>
      <c r="O2190" s="205"/>
      <c r="P2190" s="206"/>
      <c r="Q2190" s="206"/>
    </row>
    <row r="2191" spans="8:17" x14ac:dyDescent="0.3">
      <c r="H2191" s="203"/>
      <c r="I2191" s="202"/>
      <c r="J2191" s="148"/>
      <c r="K2191" s="203"/>
      <c r="L2191" s="202"/>
      <c r="M2191" s="148"/>
      <c r="N2191" s="204"/>
      <c r="O2191" s="205"/>
      <c r="P2191" s="206"/>
      <c r="Q2191" s="206"/>
    </row>
    <row r="2192" spans="8:17" x14ac:dyDescent="0.3">
      <c r="H2192" s="203"/>
      <c r="I2192" s="202"/>
      <c r="J2192" s="148"/>
      <c r="K2192" s="203"/>
      <c r="L2192" s="202"/>
      <c r="M2192" s="148"/>
      <c r="N2192" s="204"/>
      <c r="O2192" s="205"/>
      <c r="P2192" s="206"/>
      <c r="Q2192" s="206"/>
    </row>
    <row r="2193" spans="8:17" x14ac:dyDescent="0.3">
      <c r="H2193" s="203"/>
      <c r="I2193" s="202"/>
      <c r="J2193" s="148"/>
      <c r="K2193" s="203"/>
      <c r="L2193" s="202"/>
      <c r="M2193" s="148"/>
      <c r="N2193" s="204"/>
      <c r="O2193" s="205"/>
      <c r="P2193" s="206"/>
      <c r="Q2193" s="206"/>
    </row>
    <row r="2194" spans="8:17" x14ac:dyDescent="0.3">
      <c r="H2194" s="203"/>
      <c r="I2194" s="202"/>
      <c r="J2194" s="148"/>
      <c r="K2194" s="203"/>
      <c r="L2194" s="202"/>
      <c r="M2194" s="148"/>
      <c r="N2194" s="204"/>
      <c r="O2194" s="205"/>
      <c r="P2194" s="206"/>
      <c r="Q2194" s="206"/>
    </row>
    <row r="2195" spans="8:17" x14ac:dyDescent="0.3">
      <c r="H2195" s="203"/>
      <c r="I2195" s="202"/>
      <c r="J2195" s="148"/>
      <c r="K2195" s="203"/>
      <c r="L2195" s="202"/>
      <c r="M2195" s="148"/>
      <c r="N2195" s="204"/>
      <c r="O2195" s="205"/>
      <c r="P2195" s="206"/>
      <c r="Q2195" s="206"/>
    </row>
    <row r="2196" spans="8:17" x14ac:dyDescent="0.3">
      <c r="H2196" s="203"/>
      <c r="I2196" s="202"/>
      <c r="J2196" s="148"/>
      <c r="K2196" s="203"/>
      <c r="L2196" s="202"/>
      <c r="M2196" s="148"/>
      <c r="N2196" s="204"/>
      <c r="O2196" s="205"/>
      <c r="P2196" s="206"/>
      <c r="Q2196" s="206"/>
    </row>
    <row r="2197" spans="8:17" x14ac:dyDescent="0.3">
      <c r="H2197" s="203"/>
      <c r="I2197" s="202"/>
      <c r="J2197" s="148"/>
      <c r="K2197" s="203"/>
      <c r="L2197" s="202"/>
      <c r="M2197" s="148"/>
      <c r="N2197" s="204"/>
      <c r="O2197" s="205"/>
      <c r="P2197" s="206"/>
      <c r="Q2197" s="206"/>
    </row>
    <row r="2198" spans="8:17" x14ac:dyDescent="0.3">
      <c r="H2198" s="203"/>
      <c r="I2198" s="202"/>
      <c r="J2198" s="148"/>
      <c r="K2198" s="203"/>
      <c r="L2198" s="202"/>
      <c r="M2198" s="148"/>
      <c r="N2198" s="204"/>
      <c r="O2198" s="205"/>
      <c r="P2198" s="206"/>
      <c r="Q2198" s="206"/>
    </row>
    <row r="2199" spans="8:17" x14ac:dyDescent="0.3">
      <c r="H2199" s="203"/>
      <c r="I2199" s="202"/>
      <c r="J2199" s="148"/>
      <c r="K2199" s="203"/>
      <c r="L2199" s="202"/>
      <c r="M2199" s="148"/>
      <c r="N2199" s="204"/>
      <c r="O2199" s="205"/>
      <c r="P2199" s="206"/>
      <c r="Q2199" s="206"/>
    </row>
    <row r="2200" spans="8:17" x14ac:dyDescent="0.3">
      <c r="H2200" s="203"/>
      <c r="I2200" s="202"/>
      <c r="J2200" s="148"/>
      <c r="K2200" s="203"/>
      <c r="L2200" s="202"/>
      <c r="M2200" s="148"/>
      <c r="N2200" s="204"/>
      <c r="O2200" s="205"/>
      <c r="P2200" s="206"/>
      <c r="Q2200" s="206"/>
    </row>
    <row r="2201" spans="8:17" x14ac:dyDescent="0.3">
      <c r="H2201" s="203"/>
      <c r="I2201" s="202"/>
      <c r="J2201" s="148"/>
      <c r="K2201" s="203"/>
      <c r="L2201" s="202"/>
      <c r="M2201" s="148"/>
      <c r="N2201" s="204"/>
      <c r="O2201" s="205"/>
      <c r="P2201" s="206"/>
      <c r="Q2201" s="206"/>
    </row>
    <row r="2202" spans="8:17" x14ac:dyDescent="0.3">
      <c r="H2202" s="203"/>
      <c r="I2202" s="202"/>
      <c r="J2202" s="148"/>
      <c r="K2202" s="203"/>
      <c r="L2202" s="202"/>
      <c r="M2202" s="148"/>
      <c r="N2202" s="204"/>
      <c r="O2202" s="205"/>
      <c r="P2202" s="206"/>
      <c r="Q2202" s="206"/>
    </row>
    <row r="2203" spans="8:17" x14ac:dyDescent="0.3">
      <c r="H2203" s="203"/>
      <c r="I2203" s="202"/>
      <c r="J2203" s="148"/>
      <c r="K2203" s="203"/>
      <c r="L2203" s="202"/>
      <c r="M2203" s="148"/>
      <c r="N2203" s="204"/>
      <c r="O2203" s="205"/>
      <c r="P2203" s="206"/>
      <c r="Q2203" s="206"/>
    </row>
    <row r="2204" spans="8:17" x14ac:dyDescent="0.3">
      <c r="H2204" s="203"/>
      <c r="I2204" s="202"/>
      <c r="J2204" s="148"/>
      <c r="K2204" s="203"/>
      <c r="L2204" s="202"/>
      <c r="M2204" s="148"/>
      <c r="N2204" s="204"/>
      <c r="O2204" s="205"/>
      <c r="P2204" s="206"/>
      <c r="Q2204" s="206"/>
    </row>
    <row r="2205" spans="8:17" x14ac:dyDescent="0.3">
      <c r="H2205" s="203"/>
      <c r="I2205" s="202"/>
      <c r="J2205" s="148"/>
      <c r="K2205" s="203"/>
      <c r="L2205" s="202"/>
      <c r="M2205" s="148"/>
      <c r="N2205" s="204"/>
      <c r="O2205" s="205"/>
      <c r="P2205" s="206"/>
      <c r="Q2205" s="206"/>
    </row>
    <row r="2206" spans="8:17" x14ac:dyDescent="0.3">
      <c r="H2206" s="203"/>
      <c r="I2206" s="202"/>
      <c r="J2206" s="148"/>
      <c r="K2206" s="203"/>
      <c r="L2206" s="202"/>
      <c r="M2206" s="148"/>
      <c r="N2206" s="204"/>
      <c r="O2206" s="205"/>
      <c r="P2206" s="206"/>
      <c r="Q2206" s="206"/>
    </row>
    <row r="2207" spans="8:17" x14ac:dyDescent="0.3">
      <c r="H2207" s="203"/>
      <c r="I2207" s="202"/>
      <c r="J2207" s="148"/>
      <c r="K2207" s="203"/>
      <c r="L2207" s="202"/>
      <c r="M2207" s="148"/>
      <c r="N2207" s="204"/>
      <c r="O2207" s="205"/>
      <c r="P2207" s="206"/>
      <c r="Q2207" s="206"/>
    </row>
    <row r="2208" spans="8:17" x14ac:dyDescent="0.3">
      <c r="H2208" s="203"/>
      <c r="I2208" s="202"/>
      <c r="J2208" s="148"/>
      <c r="K2208" s="203"/>
      <c r="L2208" s="202"/>
      <c r="M2208" s="148"/>
      <c r="N2208" s="204"/>
      <c r="O2208" s="205"/>
      <c r="P2208" s="206"/>
      <c r="Q2208" s="206"/>
    </row>
    <row r="2209" spans="8:17" x14ac:dyDescent="0.3">
      <c r="H2209" s="203"/>
      <c r="I2209" s="202"/>
      <c r="J2209" s="148"/>
      <c r="K2209" s="203"/>
      <c r="L2209" s="202"/>
      <c r="M2209" s="148"/>
      <c r="N2209" s="204"/>
      <c r="O2209" s="205"/>
      <c r="P2209" s="206"/>
      <c r="Q2209" s="206"/>
    </row>
    <row r="2210" spans="8:17" x14ac:dyDescent="0.3">
      <c r="H2210" s="203"/>
      <c r="I2210" s="202"/>
      <c r="J2210" s="148"/>
      <c r="K2210" s="203"/>
      <c r="L2210" s="202"/>
      <c r="M2210" s="148"/>
      <c r="N2210" s="204"/>
      <c r="O2210" s="205"/>
      <c r="P2210" s="206"/>
      <c r="Q2210" s="206"/>
    </row>
    <row r="2211" spans="8:17" x14ac:dyDescent="0.3">
      <c r="H2211" s="203"/>
      <c r="I2211" s="202"/>
      <c r="J2211" s="148"/>
      <c r="K2211" s="203"/>
      <c r="L2211" s="202"/>
      <c r="M2211" s="148"/>
      <c r="N2211" s="204"/>
      <c r="O2211" s="205"/>
      <c r="P2211" s="206"/>
      <c r="Q2211" s="206"/>
    </row>
    <row r="2212" spans="8:17" x14ac:dyDescent="0.3">
      <c r="H2212" s="203"/>
      <c r="I2212" s="202"/>
      <c r="J2212" s="148"/>
      <c r="K2212" s="203"/>
      <c r="L2212" s="202"/>
      <c r="M2212" s="148"/>
      <c r="N2212" s="204"/>
      <c r="O2212" s="205"/>
      <c r="P2212" s="206"/>
      <c r="Q2212" s="206"/>
    </row>
    <row r="2213" spans="8:17" x14ac:dyDescent="0.3">
      <c r="H2213" s="203"/>
      <c r="I2213" s="202"/>
      <c r="J2213" s="148"/>
      <c r="K2213" s="203"/>
      <c r="L2213" s="202"/>
      <c r="M2213" s="148"/>
      <c r="N2213" s="204"/>
      <c r="O2213" s="205"/>
      <c r="P2213" s="206"/>
      <c r="Q2213" s="206"/>
    </row>
    <row r="2214" spans="8:17" x14ac:dyDescent="0.3">
      <c r="H2214" s="203"/>
      <c r="I2214" s="202"/>
      <c r="J2214" s="148"/>
      <c r="K2214" s="203"/>
      <c r="L2214" s="202"/>
      <c r="M2214" s="148"/>
      <c r="N2214" s="204"/>
      <c r="O2214" s="205"/>
      <c r="P2214" s="206"/>
      <c r="Q2214" s="206"/>
    </row>
    <row r="2215" spans="8:17" x14ac:dyDescent="0.3">
      <c r="H2215" s="203"/>
      <c r="I2215" s="202"/>
      <c r="J2215" s="148"/>
      <c r="K2215" s="203"/>
      <c r="L2215" s="202"/>
      <c r="M2215" s="148"/>
      <c r="N2215" s="204"/>
      <c r="O2215" s="205"/>
      <c r="P2215" s="206"/>
      <c r="Q2215" s="206"/>
    </row>
    <row r="2216" spans="8:17" x14ac:dyDescent="0.3">
      <c r="H2216" s="203"/>
      <c r="I2216" s="202"/>
      <c r="J2216" s="148"/>
      <c r="K2216" s="203"/>
      <c r="L2216" s="202"/>
      <c r="M2216" s="148"/>
      <c r="N2216" s="204"/>
      <c r="O2216" s="205"/>
      <c r="P2216" s="206"/>
      <c r="Q2216" s="206"/>
    </row>
    <row r="2217" spans="8:17" x14ac:dyDescent="0.3">
      <c r="H2217" s="203"/>
      <c r="I2217" s="202"/>
      <c r="J2217" s="148"/>
      <c r="K2217" s="203"/>
      <c r="L2217" s="202"/>
      <c r="M2217" s="148"/>
      <c r="N2217" s="204"/>
      <c r="O2217" s="205"/>
      <c r="P2217" s="206"/>
      <c r="Q2217" s="206"/>
    </row>
    <row r="2218" spans="8:17" x14ac:dyDescent="0.3">
      <c r="H2218" s="203"/>
      <c r="I2218" s="202"/>
      <c r="J2218" s="148"/>
      <c r="K2218" s="203"/>
      <c r="L2218" s="202"/>
      <c r="M2218" s="148"/>
      <c r="N2218" s="204"/>
      <c r="O2218" s="205"/>
      <c r="P2218" s="206"/>
      <c r="Q2218" s="206"/>
    </row>
    <row r="2219" spans="8:17" x14ac:dyDescent="0.3">
      <c r="H2219" s="203"/>
      <c r="I2219" s="202"/>
      <c r="J2219" s="148"/>
      <c r="K2219" s="203"/>
      <c r="L2219" s="202"/>
      <c r="M2219" s="148"/>
      <c r="N2219" s="204"/>
      <c r="O2219" s="205"/>
      <c r="P2219" s="206"/>
      <c r="Q2219" s="206"/>
    </row>
    <row r="2220" spans="8:17" x14ac:dyDescent="0.3">
      <c r="H2220" s="203"/>
      <c r="I2220" s="202"/>
      <c r="J2220" s="148"/>
      <c r="K2220" s="203"/>
      <c r="L2220" s="202"/>
      <c r="M2220" s="148"/>
      <c r="N2220" s="204"/>
      <c r="O2220" s="205"/>
      <c r="P2220" s="206"/>
      <c r="Q2220" s="206"/>
    </row>
    <row r="2221" spans="8:17" x14ac:dyDescent="0.3">
      <c r="H2221" s="203"/>
      <c r="I2221" s="202"/>
      <c r="J2221" s="148"/>
      <c r="K2221" s="203"/>
      <c r="L2221" s="202"/>
      <c r="M2221" s="148"/>
      <c r="N2221" s="204"/>
      <c r="O2221" s="205"/>
      <c r="P2221" s="206"/>
      <c r="Q2221" s="206"/>
    </row>
    <row r="2222" spans="8:17" x14ac:dyDescent="0.3">
      <c r="H2222" s="203"/>
      <c r="I2222" s="202"/>
      <c r="J2222" s="148"/>
      <c r="K2222" s="203"/>
      <c r="L2222" s="202"/>
      <c r="M2222" s="148"/>
      <c r="N2222" s="204"/>
      <c r="O2222" s="205"/>
      <c r="P2222" s="206"/>
      <c r="Q2222" s="206"/>
    </row>
    <row r="2223" spans="8:17" x14ac:dyDescent="0.3">
      <c r="H2223" s="203"/>
      <c r="I2223" s="202"/>
      <c r="J2223" s="148"/>
      <c r="K2223" s="203"/>
      <c r="L2223" s="202"/>
      <c r="M2223" s="148"/>
      <c r="N2223" s="204"/>
      <c r="O2223" s="205"/>
      <c r="P2223" s="206"/>
      <c r="Q2223" s="206"/>
    </row>
    <row r="2224" spans="8:17" x14ac:dyDescent="0.3">
      <c r="H2224" s="203"/>
      <c r="I2224" s="202"/>
      <c r="J2224" s="148"/>
      <c r="K2224" s="203"/>
      <c r="L2224" s="202"/>
      <c r="M2224" s="148"/>
      <c r="N2224" s="204"/>
      <c r="O2224" s="205"/>
      <c r="P2224" s="206"/>
      <c r="Q2224" s="206"/>
    </row>
    <row r="2225" spans="8:17" x14ac:dyDescent="0.3">
      <c r="H2225" s="203"/>
      <c r="I2225" s="202"/>
      <c r="J2225" s="148"/>
      <c r="K2225" s="203"/>
      <c r="L2225" s="202"/>
      <c r="M2225" s="148"/>
      <c r="N2225" s="204"/>
      <c r="O2225" s="205"/>
      <c r="P2225" s="206"/>
      <c r="Q2225" s="206"/>
    </row>
    <row r="2226" spans="8:17" x14ac:dyDescent="0.3">
      <c r="H2226" s="203"/>
      <c r="I2226" s="202"/>
      <c r="J2226" s="148"/>
      <c r="K2226" s="203"/>
      <c r="L2226" s="202"/>
      <c r="M2226" s="148"/>
      <c r="N2226" s="204"/>
      <c r="O2226" s="205"/>
      <c r="P2226" s="206"/>
      <c r="Q2226" s="206"/>
    </row>
    <row r="2227" spans="8:17" x14ac:dyDescent="0.3">
      <c r="H2227" s="203"/>
      <c r="I2227" s="202"/>
      <c r="J2227" s="148"/>
      <c r="K2227" s="203"/>
      <c r="L2227" s="202"/>
      <c r="M2227" s="148"/>
      <c r="N2227" s="204"/>
      <c r="O2227" s="205"/>
      <c r="P2227" s="206"/>
      <c r="Q2227" s="206"/>
    </row>
    <row r="2228" spans="8:17" x14ac:dyDescent="0.3">
      <c r="H2228" s="203"/>
      <c r="I2228" s="202"/>
      <c r="J2228" s="148"/>
      <c r="K2228" s="203"/>
      <c r="L2228" s="202"/>
      <c r="M2228" s="148"/>
      <c r="N2228" s="204"/>
      <c r="O2228" s="205"/>
      <c r="P2228" s="206"/>
      <c r="Q2228" s="206"/>
    </row>
  </sheetData>
  <mergeCells count="3">
    <mergeCell ref="A1:F1"/>
    <mergeCell ref="A3:F3"/>
    <mergeCell ref="B5:F5"/>
  </mergeCells>
  <pageMargins left="1.2598425196850394" right="0.39370078740157483" top="1.1417322834645669" bottom="0.86614173228346458" header="0.31496062992125984" footer="0.31496062992125984"/>
  <pageSetup paperSize="5" scale="80" orientation="portrait" horizontalDpi="300" verticalDpi="300" r:id="rId1"/>
  <headerFooter alignWithMargins="0">
    <oddHeader>&amp;C&amp;"Arial,Negrita"PROVINCIA DEL CHACO
&amp;"Arial,Normal"SECRETARIA DE TRANSPORTE, OBRAS Y SERVICIOS PUBLICOS
&amp;"Arial,Negrita"OBRA: CONSTRUCCION PILETAS SOCIALES POLIDEPORTIVO JAIME ZAPATA
UBICACION: RESISTENCIA - CHACO</oddHeader>
    <oddFooter>&amp;C&amp;F - &amp;A - Página &amp;P de &amp;N</oddFooter>
  </headerFooter>
  <rowBreaks count="20" manualBreakCount="20">
    <brk id="40" max="7" man="1"/>
    <brk id="127" max="7" man="1"/>
    <brk id="185" max="7" man="1"/>
    <brk id="245" max="7" man="1"/>
    <brk id="310" max="7" man="1"/>
    <brk id="375" max="7" man="1"/>
    <brk id="438" max="7" man="1"/>
    <brk id="500" max="7" man="1"/>
    <brk id="560" max="7" man="1"/>
    <brk id="625" max="7" man="1"/>
    <brk id="688" max="7" man="1"/>
    <brk id="750" max="7" man="1"/>
    <brk id="815" max="7" man="1"/>
    <brk id="883" max="7" man="1"/>
    <brk id="946" max="7" man="1"/>
    <brk id="1006" max="7" man="1"/>
    <brk id="1070" max="7" man="1"/>
    <brk id="1129" max="7" man="1"/>
    <brk id="1191" max="7" man="1"/>
    <brk id="1234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8"/>
  <sheetViews>
    <sheetView zoomScale="103" workbookViewId="0">
      <selection activeCell="N59" sqref="N59"/>
    </sheetView>
  </sheetViews>
  <sheetFormatPr baseColWidth="10" defaultColWidth="11.625" defaultRowHeight="14.4" x14ac:dyDescent="0.3"/>
  <cols>
    <col min="11" max="11" width="13.125" bestFit="1" customWidth="1"/>
    <col min="12" max="12" width="26.625" bestFit="1" customWidth="1"/>
    <col min="13" max="13" width="12.125" bestFit="1" customWidth="1"/>
    <col min="14" max="14" width="14.375" bestFit="1" customWidth="1"/>
  </cols>
  <sheetData>
    <row r="1" spans="1:12" x14ac:dyDescent="0.3">
      <c r="A1" s="293" t="s">
        <v>430</v>
      </c>
      <c r="B1" s="306"/>
      <c r="C1" s="294"/>
      <c r="D1" s="294"/>
      <c r="E1" s="294"/>
      <c r="F1" s="294"/>
      <c r="G1" s="294"/>
      <c r="H1" s="294"/>
      <c r="I1" s="294"/>
      <c r="J1" s="294"/>
      <c r="K1" s="294"/>
      <c r="L1" s="295"/>
    </row>
    <row r="2" spans="1:12" ht="15" thickBot="1" x14ac:dyDescent="0.35">
      <c r="A2" s="307" t="s">
        <v>431</v>
      </c>
      <c r="B2" s="308"/>
      <c r="L2" s="296"/>
    </row>
    <row r="3" spans="1:12" x14ac:dyDescent="0.3">
      <c r="A3" s="297"/>
      <c r="L3" s="296"/>
    </row>
    <row r="4" spans="1:12" ht="15" thickBot="1" x14ac:dyDescent="0.35">
      <c r="A4" s="303" t="s">
        <v>432</v>
      </c>
      <c r="B4" s="302" t="s">
        <v>433</v>
      </c>
      <c r="C4" s="302"/>
      <c r="D4" s="302"/>
      <c r="E4" s="302" t="s">
        <v>434</v>
      </c>
      <c r="F4" s="302"/>
      <c r="G4" s="302" t="s">
        <v>435</v>
      </c>
      <c r="H4" s="302" t="s">
        <v>436</v>
      </c>
      <c r="I4" s="302" t="s">
        <v>437</v>
      </c>
      <c r="J4" s="302" t="s">
        <v>438</v>
      </c>
      <c r="K4" s="302" t="s">
        <v>439</v>
      </c>
      <c r="L4" s="329" t="s">
        <v>440</v>
      </c>
    </row>
    <row r="5" spans="1:12" x14ac:dyDescent="0.3">
      <c r="A5" s="304">
        <v>1</v>
      </c>
      <c r="B5" s="298" t="s">
        <v>441</v>
      </c>
      <c r="C5" s="298"/>
      <c r="L5" s="327"/>
    </row>
    <row r="6" spans="1:12" x14ac:dyDescent="0.3">
      <c r="A6" s="304">
        <v>1.1000000000000001</v>
      </c>
      <c r="B6" t="s">
        <v>442</v>
      </c>
      <c r="L6" s="328">
        <v>38.351357999999998</v>
      </c>
    </row>
    <row r="7" spans="1:12" x14ac:dyDescent="0.3">
      <c r="A7" s="304">
        <v>1.2</v>
      </c>
      <c r="B7" t="s">
        <v>443</v>
      </c>
      <c r="E7">
        <v>1</v>
      </c>
      <c r="G7">
        <v>6</v>
      </c>
      <c r="H7" s="299">
        <v>0.2</v>
      </c>
      <c r="I7">
        <v>0.2</v>
      </c>
      <c r="J7" t="s">
        <v>359</v>
      </c>
      <c r="K7">
        <f>G7*H7*I7</f>
        <v>0.24000000000000005</v>
      </c>
      <c r="L7" s="328"/>
    </row>
    <row r="8" spans="1:12" x14ac:dyDescent="0.3">
      <c r="A8" s="304">
        <v>1.3</v>
      </c>
      <c r="B8" t="s">
        <v>444</v>
      </c>
      <c r="E8">
        <v>3</v>
      </c>
      <c r="G8">
        <v>3</v>
      </c>
      <c r="H8">
        <v>0.2</v>
      </c>
      <c r="I8">
        <v>0.2</v>
      </c>
      <c r="J8" t="s">
        <v>359</v>
      </c>
      <c r="K8">
        <f>G8*H8*I8</f>
        <v>0.12000000000000002</v>
      </c>
      <c r="L8" s="328"/>
    </row>
    <row r="9" spans="1:12" x14ac:dyDescent="0.3">
      <c r="A9" s="304">
        <v>1.4</v>
      </c>
      <c r="B9" t="s">
        <v>445</v>
      </c>
      <c r="E9">
        <v>3</v>
      </c>
      <c r="G9">
        <v>4</v>
      </c>
      <c r="H9">
        <v>0.2</v>
      </c>
      <c r="I9">
        <v>0.2</v>
      </c>
      <c r="J9" t="s">
        <v>359</v>
      </c>
      <c r="K9">
        <f t="shared" ref="K9:K20" si="0">G9*H9*I9</f>
        <v>0.16000000000000003</v>
      </c>
      <c r="L9" s="328"/>
    </row>
    <row r="10" spans="1:12" x14ac:dyDescent="0.3">
      <c r="A10" s="304">
        <v>1.5</v>
      </c>
      <c r="B10" t="s">
        <v>446</v>
      </c>
      <c r="E10">
        <v>2</v>
      </c>
      <c r="G10">
        <v>20.7</v>
      </c>
      <c r="H10">
        <v>0.2</v>
      </c>
      <c r="I10">
        <v>0.2</v>
      </c>
      <c r="J10" t="s">
        <v>359</v>
      </c>
      <c r="K10">
        <f t="shared" si="0"/>
        <v>0.82799999999999996</v>
      </c>
      <c r="L10" s="328"/>
    </row>
    <row r="11" spans="1:12" x14ac:dyDescent="0.3">
      <c r="A11" s="304">
        <v>1.6</v>
      </c>
      <c r="B11" t="s">
        <v>447</v>
      </c>
      <c r="E11">
        <v>1</v>
      </c>
      <c r="G11">
        <v>12</v>
      </c>
      <c r="H11">
        <v>0.2</v>
      </c>
      <c r="I11">
        <v>0.2</v>
      </c>
      <c r="J11" t="s">
        <v>359</v>
      </c>
      <c r="K11">
        <f t="shared" si="0"/>
        <v>0.48000000000000009</v>
      </c>
      <c r="L11" s="328"/>
    </row>
    <row r="12" spans="1:12" x14ac:dyDescent="0.3">
      <c r="A12" s="304">
        <v>1.7</v>
      </c>
      <c r="B12" t="s">
        <v>448</v>
      </c>
      <c r="E12">
        <v>6</v>
      </c>
      <c r="G12">
        <v>3.4</v>
      </c>
      <c r="H12">
        <v>0.2</v>
      </c>
      <c r="I12">
        <v>0.2</v>
      </c>
      <c r="J12" t="s">
        <v>359</v>
      </c>
      <c r="K12">
        <f t="shared" si="0"/>
        <v>0.13600000000000001</v>
      </c>
      <c r="L12" s="328"/>
    </row>
    <row r="13" spans="1:12" x14ac:dyDescent="0.3">
      <c r="A13" s="304">
        <v>1.8</v>
      </c>
      <c r="B13" t="s">
        <v>449</v>
      </c>
      <c r="E13">
        <v>3</v>
      </c>
      <c r="G13">
        <v>2.4</v>
      </c>
      <c r="H13">
        <v>0.2</v>
      </c>
      <c r="I13">
        <v>0.2</v>
      </c>
      <c r="J13" t="s">
        <v>359</v>
      </c>
      <c r="K13">
        <f t="shared" si="0"/>
        <v>9.6000000000000002E-2</v>
      </c>
      <c r="L13" s="328"/>
    </row>
    <row r="14" spans="1:12" x14ac:dyDescent="0.3">
      <c r="A14" s="304">
        <v>1.9</v>
      </c>
      <c r="B14" t="s">
        <v>450</v>
      </c>
      <c r="E14">
        <v>3</v>
      </c>
      <c r="G14">
        <v>2.2000000000000002</v>
      </c>
      <c r="H14">
        <v>0.2</v>
      </c>
      <c r="I14">
        <v>0.2</v>
      </c>
      <c r="J14" t="s">
        <v>359</v>
      </c>
      <c r="K14">
        <f t="shared" si="0"/>
        <v>8.8000000000000023E-2</v>
      </c>
      <c r="L14" s="328"/>
    </row>
    <row r="15" spans="1:12" x14ac:dyDescent="0.3">
      <c r="A15" s="304">
        <v>2</v>
      </c>
      <c r="B15" t="s">
        <v>451</v>
      </c>
      <c r="E15">
        <v>4</v>
      </c>
      <c r="G15">
        <v>2.8</v>
      </c>
      <c r="H15">
        <v>0.2</v>
      </c>
      <c r="I15">
        <v>0.2</v>
      </c>
      <c r="J15" t="s">
        <v>359</v>
      </c>
      <c r="K15">
        <f t="shared" si="0"/>
        <v>0.11199999999999999</v>
      </c>
      <c r="L15" s="328"/>
    </row>
    <row r="16" spans="1:12" x14ac:dyDescent="0.3">
      <c r="A16" s="304">
        <v>2.1</v>
      </c>
      <c r="B16" t="s">
        <v>452</v>
      </c>
      <c r="E16">
        <v>2</v>
      </c>
      <c r="G16">
        <v>3.5</v>
      </c>
      <c r="H16">
        <v>0.2</v>
      </c>
      <c r="I16">
        <v>0.2</v>
      </c>
      <c r="J16" t="s">
        <v>359</v>
      </c>
      <c r="K16">
        <f t="shared" si="0"/>
        <v>0.14000000000000001</v>
      </c>
      <c r="L16" s="328"/>
    </row>
    <row r="17" spans="1:16" x14ac:dyDescent="0.3">
      <c r="A17" s="304">
        <v>2.2000000000000002</v>
      </c>
      <c r="B17" t="s">
        <v>453</v>
      </c>
      <c r="E17">
        <v>2</v>
      </c>
      <c r="G17">
        <v>5.0999999999999996</v>
      </c>
      <c r="H17">
        <v>0.2</v>
      </c>
      <c r="I17">
        <v>0.2</v>
      </c>
      <c r="J17" t="s">
        <v>359</v>
      </c>
      <c r="K17">
        <f t="shared" si="0"/>
        <v>0.20400000000000001</v>
      </c>
      <c r="L17" s="328"/>
    </row>
    <row r="18" spans="1:16" x14ac:dyDescent="0.3">
      <c r="A18" s="304">
        <v>2.2999999999999998</v>
      </c>
      <c r="B18" t="s">
        <v>454</v>
      </c>
      <c r="E18">
        <v>2</v>
      </c>
      <c r="G18">
        <v>1.9</v>
      </c>
      <c r="H18">
        <v>0.2</v>
      </c>
      <c r="I18">
        <v>0.2</v>
      </c>
      <c r="J18" t="s">
        <v>359</v>
      </c>
      <c r="K18">
        <f t="shared" si="0"/>
        <v>7.6000000000000012E-2</v>
      </c>
      <c r="L18" s="328"/>
    </row>
    <row r="19" spans="1:16" x14ac:dyDescent="0.3">
      <c r="A19" s="304">
        <v>2.4</v>
      </c>
      <c r="B19" t="s">
        <v>455</v>
      </c>
      <c r="E19">
        <v>1</v>
      </c>
      <c r="G19">
        <v>3.1</v>
      </c>
      <c r="H19">
        <v>0.2</v>
      </c>
      <c r="I19">
        <v>0.2</v>
      </c>
      <c r="J19" t="s">
        <v>359</v>
      </c>
      <c r="K19">
        <f t="shared" si="0"/>
        <v>0.12400000000000003</v>
      </c>
      <c r="L19" s="328"/>
    </row>
    <row r="20" spans="1:16" x14ac:dyDescent="0.3">
      <c r="A20" s="304">
        <v>2.5</v>
      </c>
      <c r="B20" t="s">
        <v>456</v>
      </c>
      <c r="E20">
        <v>1</v>
      </c>
      <c r="G20">
        <v>3.8</v>
      </c>
      <c r="H20">
        <v>0.2</v>
      </c>
      <c r="I20">
        <v>0.2</v>
      </c>
      <c r="J20" t="s">
        <v>359</v>
      </c>
      <c r="K20">
        <f t="shared" si="0"/>
        <v>0.15200000000000002</v>
      </c>
      <c r="L20" s="328">
        <f>K7+K8+K9+K10+K11+K12+K13+K14+K15+K16+K17+K18+K19+K20</f>
        <v>2.9560000000000013</v>
      </c>
      <c r="N20">
        <f>SUM(E7:E20)</f>
        <v>34</v>
      </c>
      <c r="P20">
        <f>N20*L20</f>
        <v>100.50400000000005</v>
      </c>
    </row>
    <row r="21" spans="1:16" x14ac:dyDescent="0.3">
      <c r="A21" s="304">
        <v>2.6</v>
      </c>
      <c r="B21" t="s">
        <v>457</v>
      </c>
      <c r="E21">
        <v>137</v>
      </c>
      <c r="H21">
        <v>3.1399999999999997E-2</v>
      </c>
      <c r="I21">
        <v>1.31</v>
      </c>
      <c r="J21" t="s">
        <v>359</v>
      </c>
      <c r="K21">
        <f>E21*H21*I21</f>
        <v>5.6353580000000001</v>
      </c>
      <c r="L21" s="328">
        <f>K21</f>
        <v>5.6353580000000001</v>
      </c>
    </row>
    <row r="22" spans="1:16" x14ac:dyDescent="0.3">
      <c r="A22" s="304">
        <v>2.7</v>
      </c>
      <c r="B22" t="s">
        <v>458</v>
      </c>
      <c r="E22">
        <v>22</v>
      </c>
      <c r="G22">
        <v>0.8</v>
      </c>
      <c r="H22">
        <v>0.8</v>
      </c>
      <c r="I22">
        <v>1.5</v>
      </c>
      <c r="J22" t="s">
        <v>359</v>
      </c>
      <c r="K22">
        <f>G22*H22*I22*E22</f>
        <v>21.120000000000005</v>
      </c>
      <c r="L22" s="328"/>
    </row>
    <row r="23" spans="1:16" x14ac:dyDescent="0.3">
      <c r="A23" s="304">
        <v>2.8</v>
      </c>
      <c r="B23" t="s">
        <v>459</v>
      </c>
      <c r="E23">
        <v>4</v>
      </c>
      <c r="G23">
        <v>1.2</v>
      </c>
      <c r="H23">
        <v>1.2</v>
      </c>
      <c r="I23">
        <v>1.5</v>
      </c>
      <c r="J23" t="s">
        <v>359</v>
      </c>
      <c r="K23">
        <f>G23*H23*I23*E23</f>
        <v>8.64</v>
      </c>
      <c r="L23" s="328">
        <f>K22+K23</f>
        <v>29.760000000000005</v>
      </c>
    </row>
    <row r="24" spans="1:16" x14ac:dyDescent="0.3">
      <c r="A24" s="304">
        <v>2.9</v>
      </c>
      <c r="B24" s="298" t="s">
        <v>460</v>
      </c>
      <c r="C24" s="298"/>
      <c r="L24" s="328">
        <f>K33+K25+K26+K27+K28+K29+K30</f>
        <v>366.21269147200007</v>
      </c>
    </row>
    <row r="25" spans="1:16" x14ac:dyDescent="0.3">
      <c r="A25" s="304">
        <v>3</v>
      </c>
      <c r="B25" t="s">
        <v>461</v>
      </c>
      <c r="E25" t="s">
        <v>462</v>
      </c>
      <c r="J25" t="s">
        <v>359</v>
      </c>
      <c r="K25">
        <f>L20</f>
        <v>2.9560000000000013</v>
      </c>
      <c r="L25" s="328"/>
    </row>
    <row r="26" spans="1:16" x14ac:dyDescent="0.3">
      <c r="A26" s="304">
        <v>3.1</v>
      </c>
      <c r="B26" t="s">
        <v>463</v>
      </c>
      <c r="E26" t="s">
        <v>462</v>
      </c>
      <c r="J26" t="s">
        <v>359</v>
      </c>
      <c r="K26">
        <f>K21</f>
        <v>5.6353580000000001</v>
      </c>
      <c r="L26" s="328"/>
    </row>
    <row r="27" spans="1:16" x14ac:dyDescent="0.3">
      <c r="A27" s="304">
        <v>3.2</v>
      </c>
      <c r="B27" t="s">
        <v>464</v>
      </c>
      <c r="E27">
        <v>2</v>
      </c>
      <c r="G27">
        <v>1.2</v>
      </c>
      <c r="H27">
        <v>1.2</v>
      </c>
      <c r="I27">
        <v>0.2</v>
      </c>
      <c r="J27" t="s">
        <v>359</v>
      </c>
      <c r="K27">
        <f>G27*H27*I27*E27</f>
        <v>0.57599999999999996</v>
      </c>
      <c r="L27" s="328">
        <f>K27+K29</f>
        <v>0.83200000000000007</v>
      </c>
    </row>
    <row r="28" spans="1:16" x14ac:dyDescent="0.3">
      <c r="A28" s="304">
        <v>3.3</v>
      </c>
      <c r="B28" t="s">
        <v>465</v>
      </c>
      <c r="E28">
        <v>2</v>
      </c>
      <c r="G28">
        <v>1.2</v>
      </c>
      <c r="H28">
        <v>1.2</v>
      </c>
      <c r="I28">
        <v>0.1166667</v>
      </c>
      <c r="J28" t="s">
        <v>359</v>
      </c>
      <c r="K28">
        <f>G28*H28*I28*E28</f>
        <v>0.33600009599999997</v>
      </c>
      <c r="L28" s="328">
        <f>K28+K30</f>
        <v>0.48533347199999999</v>
      </c>
    </row>
    <row r="29" spans="1:16" x14ac:dyDescent="0.3">
      <c r="A29" s="304">
        <v>3.4</v>
      </c>
      <c r="B29" t="s">
        <v>466</v>
      </c>
      <c r="E29">
        <v>2</v>
      </c>
      <c r="G29">
        <v>0.8</v>
      </c>
      <c r="H29">
        <v>0.8</v>
      </c>
      <c r="I29">
        <v>0.2</v>
      </c>
      <c r="J29" t="s">
        <v>359</v>
      </c>
      <c r="K29">
        <f>G29*H29*I29*E29</f>
        <v>0.25600000000000006</v>
      </c>
      <c r="L29" s="328"/>
    </row>
    <row r="30" spans="1:16" x14ac:dyDescent="0.3">
      <c r="A30" s="304">
        <v>3.5</v>
      </c>
      <c r="B30" t="s">
        <v>467</v>
      </c>
      <c r="E30">
        <v>2</v>
      </c>
      <c r="G30">
        <v>0.8</v>
      </c>
      <c r="H30">
        <v>0.8</v>
      </c>
      <c r="I30">
        <v>0.1166667</v>
      </c>
      <c r="J30" t="s">
        <v>359</v>
      </c>
      <c r="K30">
        <f>G30*H30*I30*E30</f>
        <v>0.14933337600000002</v>
      </c>
      <c r="L30" s="328"/>
    </row>
    <row r="31" spans="1:16" x14ac:dyDescent="0.3">
      <c r="A31" s="304">
        <v>3.6</v>
      </c>
      <c r="B31" t="s">
        <v>468</v>
      </c>
      <c r="L31" s="328"/>
    </row>
    <row r="32" spans="1:16" x14ac:dyDescent="0.3">
      <c r="A32" s="304">
        <v>3.7</v>
      </c>
      <c r="B32" t="s">
        <v>469</v>
      </c>
      <c r="L32" s="328"/>
    </row>
    <row r="33" spans="1:12" x14ac:dyDescent="0.3">
      <c r="A33" s="304">
        <v>3.8</v>
      </c>
      <c r="B33" t="s">
        <v>470</v>
      </c>
      <c r="E33">
        <v>1</v>
      </c>
      <c r="G33">
        <v>57.1</v>
      </c>
      <c r="H33">
        <v>31.2</v>
      </c>
      <c r="I33">
        <v>0.2</v>
      </c>
      <c r="J33" t="s">
        <v>359</v>
      </c>
      <c r="K33">
        <f>G33*H33*I33</f>
        <v>356.30400000000003</v>
      </c>
      <c r="L33" s="328"/>
    </row>
    <row r="34" spans="1:12" x14ac:dyDescent="0.3">
      <c r="A34" s="304">
        <v>3.9</v>
      </c>
      <c r="L34" s="328"/>
    </row>
    <row r="35" spans="1:12" x14ac:dyDescent="0.3">
      <c r="A35" s="304">
        <v>4</v>
      </c>
      <c r="B35" s="298" t="s">
        <v>471</v>
      </c>
      <c r="C35" s="298"/>
      <c r="L35" s="328"/>
    </row>
    <row r="36" spans="1:12" x14ac:dyDescent="0.3">
      <c r="A36" s="304">
        <v>4.0999999999999996</v>
      </c>
      <c r="B36" s="300" t="s">
        <v>472</v>
      </c>
      <c r="C36" s="300"/>
      <c r="L36" s="328">
        <f>K37+K38+K39+K40+K41+K42+K43+K44+K45+K46+K47+K41+K49+K50+K51+K52+K53+K54</f>
        <v>165.53199999999998</v>
      </c>
    </row>
    <row r="37" spans="1:12" x14ac:dyDescent="0.3">
      <c r="A37" s="304">
        <v>4.2</v>
      </c>
      <c r="B37" t="s">
        <v>473</v>
      </c>
      <c r="E37">
        <v>4</v>
      </c>
      <c r="G37">
        <v>13.7</v>
      </c>
      <c r="H37">
        <v>0.2</v>
      </c>
      <c r="I37">
        <v>3</v>
      </c>
      <c r="J37" t="s">
        <v>359</v>
      </c>
      <c r="K37">
        <f>G37*H37*I37*E37</f>
        <v>32.880000000000003</v>
      </c>
      <c r="L37" s="328"/>
    </row>
    <row r="38" spans="1:12" x14ac:dyDescent="0.3">
      <c r="A38" s="304">
        <v>4.3</v>
      </c>
      <c r="B38" t="s">
        <v>474</v>
      </c>
      <c r="E38">
        <v>3</v>
      </c>
      <c r="G38">
        <v>11.6</v>
      </c>
      <c r="H38">
        <v>0.2</v>
      </c>
      <c r="I38">
        <v>3</v>
      </c>
      <c r="J38" t="s">
        <v>359</v>
      </c>
      <c r="K38">
        <f>G38*H38*I38*E38</f>
        <v>20.879999999999995</v>
      </c>
      <c r="L38" s="328"/>
    </row>
    <row r="39" spans="1:12" x14ac:dyDescent="0.3">
      <c r="A39" s="304">
        <v>4.4000000000000004</v>
      </c>
      <c r="B39" t="s">
        <v>475</v>
      </c>
      <c r="E39">
        <v>1</v>
      </c>
      <c r="G39">
        <v>7.5</v>
      </c>
      <c r="H39">
        <v>0.2</v>
      </c>
      <c r="I39">
        <v>3</v>
      </c>
      <c r="J39" t="s">
        <v>359</v>
      </c>
      <c r="K39">
        <f>G39*H39*I39</f>
        <v>4.5</v>
      </c>
      <c r="L39" s="328"/>
    </row>
    <row r="40" spans="1:12" x14ac:dyDescent="0.3">
      <c r="A40" s="304">
        <v>4.5</v>
      </c>
      <c r="B40" t="s">
        <v>476</v>
      </c>
      <c r="E40">
        <v>1</v>
      </c>
      <c r="G40">
        <v>5.5</v>
      </c>
      <c r="H40">
        <v>0.2</v>
      </c>
      <c r="I40">
        <v>3</v>
      </c>
      <c r="J40" t="s">
        <v>359</v>
      </c>
      <c r="K40">
        <f>G40*H40*I40</f>
        <v>3.3000000000000003</v>
      </c>
      <c r="L40" s="328"/>
    </row>
    <row r="41" spans="1:12" x14ac:dyDescent="0.3">
      <c r="A41" s="304">
        <v>4.5999999999999996</v>
      </c>
      <c r="B41" t="s">
        <v>477</v>
      </c>
      <c r="E41">
        <v>9</v>
      </c>
      <c r="G41">
        <v>3.4</v>
      </c>
      <c r="H41">
        <v>0.2</v>
      </c>
      <c r="I41">
        <v>3</v>
      </c>
      <c r="J41" t="s">
        <v>359</v>
      </c>
      <c r="K41">
        <f t="shared" ref="K41:K54" si="1">G41*H41*I41*E41</f>
        <v>18.36</v>
      </c>
      <c r="L41" s="328"/>
    </row>
    <row r="42" spans="1:12" x14ac:dyDescent="0.3">
      <c r="A42" s="304">
        <v>4.7</v>
      </c>
      <c r="B42" t="s">
        <v>478</v>
      </c>
      <c r="E42">
        <v>6</v>
      </c>
      <c r="G42">
        <v>2.2999999999999998</v>
      </c>
      <c r="H42">
        <v>0.2</v>
      </c>
      <c r="I42">
        <v>3</v>
      </c>
      <c r="J42" t="s">
        <v>359</v>
      </c>
      <c r="K42">
        <f t="shared" si="1"/>
        <v>8.2799999999999994</v>
      </c>
      <c r="L42" s="328"/>
    </row>
    <row r="43" spans="1:12" x14ac:dyDescent="0.3">
      <c r="A43" s="304">
        <v>4.8</v>
      </c>
      <c r="B43" t="s">
        <v>479</v>
      </c>
      <c r="E43">
        <v>1</v>
      </c>
      <c r="G43">
        <v>1.1000000000000001</v>
      </c>
      <c r="H43">
        <v>0.2</v>
      </c>
      <c r="I43">
        <v>3</v>
      </c>
      <c r="J43" t="s">
        <v>359</v>
      </c>
      <c r="K43">
        <f t="shared" si="1"/>
        <v>0.66000000000000014</v>
      </c>
      <c r="L43" s="328"/>
    </row>
    <row r="44" spans="1:12" x14ac:dyDescent="0.3">
      <c r="A44" s="304">
        <v>4.9000000000000004</v>
      </c>
      <c r="B44" t="s">
        <v>480</v>
      </c>
      <c r="E44">
        <v>1</v>
      </c>
      <c r="G44">
        <v>1.7</v>
      </c>
      <c r="H44">
        <v>0.2</v>
      </c>
      <c r="I44">
        <v>3</v>
      </c>
      <c r="J44" t="s">
        <v>359</v>
      </c>
      <c r="K44">
        <f t="shared" si="1"/>
        <v>1.02</v>
      </c>
      <c r="L44" s="328"/>
    </row>
    <row r="45" spans="1:12" x14ac:dyDescent="0.3">
      <c r="A45" s="304">
        <v>5</v>
      </c>
      <c r="B45" t="s">
        <v>481</v>
      </c>
      <c r="E45">
        <v>2</v>
      </c>
      <c r="G45">
        <v>5</v>
      </c>
      <c r="H45">
        <v>0.2</v>
      </c>
      <c r="I45">
        <v>3</v>
      </c>
      <c r="J45" t="s">
        <v>359</v>
      </c>
      <c r="K45">
        <f t="shared" si="1"/>
        <v>6</v>
      </c>
      <c r="L45" s="328"/>
    </row>
    <row r="46" spans="1:12" x14ac:dyDescent="0.3">
      <c r="A46" s="304">
        <v>5.0999999999999996</v>
      </c>
      <c r="B46" t="s">
        <v>482</v>
      </c>
      <c r="E46">
        <v>3</v>
      </c>
      <c r="G46">
        <v>0.9</v>
      </c>
      <c r="H46">
        <v>0.2</v>
      </c>
      <c r="I46">
        <v>3</v>
      </c>
      <c r="J46" t="s">
        <v>359</v>
      </c>
      <c r="K46">
        <f t="shared" si="1"/>
        <v>1.62</v>
      </c>
      <c r="L46" s="328"/>
    </row>
    <row r="47" spans="1:12" x14ac:dyDescent="0.3">
      <c r="A47" s="304">
        <v>5.2</v>
      </c>
      <c r="B47" t="s">
        <v>483</v>
      </c>
      <c r="E47">
        <v>2</v>
      </c>
      <c r="G47">
        <v>5.5</v>
      </c>
      <c r="H47">
        <v>0.2</v>
      </c>
      <c r="I47">
        <v>5.3</v>
      </c>
      <c r="J47" t="s">
        <v>359</v>
      </c>
      <c r="K47">
        <f t="shared" si="1"/>
        <v>11.66</v>
      </c>
      <c r="L47" s="328"/>
    </row>
    <row r="48" spans="1:12" x14ac:dyDescent="0.3">
      <c r="A48" s="304">
        <v>5.3</v>
      </c>
      <c r="B48" t="s">
        <v>484</v>
      </c>
      <c r="E48">
        <v>2</v>
      </c>
      <c r="G48">
        <v>6</v>
      </c>
      <c r="H48">
        <v>0.2</v>
      </c>
      <c r="I48">
        <v>3</v>
      </c>
      <c r="J48" t="s">
        <v>359</v>
      </c>
      <c r="K48">
        <f t="shared" si="1"/>
        <v>7.2000000000000011</v>
      </c>
      <c r="L48" s="328"/>
    </row>
    <row r="49" spans="1:15" x14ac:dyDescent="0.3">
      <c r="A49" s="304">
        <v>5.4</v>
      </c>
      <c r="B49" t="s">
        <v>485</v>
      </c>
      <c r="E49">
        <v>1</v>
      </c>
      <c r="G49">
        <v>6.4</v>
      </c>
      <c r="H49">
        <v>0.2</v>
      </c>
      <c r="I49">
        <v>3</v>
      </c>
      <c r="J49" t="s">
        <v>359</v>
      </c>
      <c r="K49">
        <f t="shared" si="1"/>
        <v>3.8400000000000007</v>
      </c>
      <c r="L49" s="328"/>
    </row>
    <row r="50" spans="1:15" x14ac:dyDescent="0.3">
      <c r="A50" s="304">
        <v>5.5</v>
      </c>
      <c r="B50" t="s">
        <v>486</v>
      </c>
      <c r="E50">
        <v>1</v>
      </c>
      <c r="G50">
        <v>4.4000000000000004</v>
      </c>
      <c r="H50">
        <v>0.2</v>
      </c>
      <c r="I50">
        <v>3</v>
      </c>
      <c r="J50" t="s">
        <v>359</v>
      </c>
      <c r="K50">
        <f t="shared" si="1"/>
        <v>2.6400000000000006</v>
      </c>
      <c r="L50" s="328"/>
    </row>
    <row r="51" spans="1:15" x14ac:dyDescent="0.3">
      <c r="A51" s="304">
        <v>5.6</v>
      </c>
      <c r="B51" t="s">
        <v>487</v>
      </c>
      <c r="E51">
        <v>1</v>
      </c>
      <c r="G51">
        <v>4</v>
      </c>
      <c r="H51">
        <v>0.2</v>
      </c>
      <c r="I51">
        <v>3</v>
      </c>
      <c r="J51" t="s">
        <v>359</v>
      </c>
      <c r="K51">
        <f t="shared" si="1"/>
        <v>2.4000000000000004</v>
      </c>
      <c r="L51" s="328"/>
    </row>
    <row r="52" spans="1:15" x14ac:dyDescent="0.3">
      <c r="A52" s="304">
        <v>5.7</v>
      </c>
      <c r="B52" t="s">
        <v>488</v>
      </c>
      <c r="E52">
        <v>1</v>
      </c>
      <c r="G52">
        <v>3.1</v>
      </c>
      <c r="H52">
        <v>0.2</v>
      </c>
      <c r="I52">
        <v>5.3</v>
      </c>
      <c r="J52" t="s">
        <v>359</v>
      </c>
      <c r="K52">
        <f t="shared" si="1"/>
        <v>3.2860000000000005</v>
      </c>
      <c r="L52" s="328"/>
    </row>
    <row r="53" spans="1:15" x14ac:dyDescent="0.3">
      <c r="A53" s="304">
        <v>5.8</v>
      </c>
      <c r="B53" t="s">
        <v>489</v>
      </c>
      <c r="E53">
        <v>1</v>
      </c>
      <c r="G53">
        <v>2.2999999999999998</v>
      </c>
      <c r="H53">
        <v>0.2</v>
      </c>
      <c r="I53">
        <v>5.3</v>
      </c>
      <c r="J53" t="s">
        <v>359</v>
      </c>
      <c r="K53">
        <f t="shared" si="1"/>
        <v>2.4379999999999997</v>
      </c>
      <c r="L53" s="328"/>
    </row>
    <row r="54" spans="1:15" x14ac:dyDescent="0.3">
      <c r="A54" s="304">
        <v>5.9</v>
      </c>
      <c r="B54" t="s">
        <v>490</v>
      </c>
      <c r="E54">
        <v>2</v>
      </c>
      <c r="G54">
        <v>20.9</v>
      </c>
      <c r="H54">
        <v>0.2</v>
      </c>
      <c r="I54">
        <v>2.8</v>
      </c>
      <c r="J54" t="s">
        <v>359</v>
      </c>
      <c r="K54">
        <f t="shared" si="1"/>
        <v>23.407999999999998</v>
      </c>
      <c r="L54" s="328"/>
    </row>
    <row r="55" spans="1:15" x14ac:dyDescent="0.3">
      <c r="A55" s="304">
        <v>6</v>
      </c>
      <c r="B55" s="300" t="s">
        <v>491</v>
      </c>
      <c r="C55" s="300"/>
      <c r="L55" s="328">
        <f>K56+K57+K58+K59</f>
        <v>2.4750000000000001</v>
      </c>
    </row>
    <row r="56" spans="1:15" x14ac:dyDescent="0.3">
      <c r="A56" s="304">
        <v>6.1</v>
      </c>
      <c r="B56" t="s">
        <v>492</v>
      </c>
      <c r="E56">
        <v>1</v>
      </c>
      <c r="G56">
        <v>1</v>
      </c>
      <c r="H56">
        <v>0.15</v>
      </c>
      <c r="I56">
        <v>3</v>
      </c>
      <c r="J56" t="s">
        <v>359</v>
      </c>
      <c r="K56">
        <f>G56*H56*I56*E56</f>
        <v>0.44999999999999996</v>
      </c>
      <c r="L56" s="328"/>
    </row>
    <row r="57" spans="1:15" x14ac:dyDescent="0.3">
      <c r="A57" s="304">
        <v>6.2</v>
      </c>
      <c r="B57" t="s">
        <v>493</v>
      </c>
      <c r="E57">
        <v>1</v>
      </c>
      <c r="G57">
        <v>1.5</v>
      </c>
      <c r="H57">
        <v>0.15</v>
      </c>
      <c r="I57">
        <v>3</v>
      </c>
      <c r="J57" t="s">
        <v>359</v>
      </c>
      <c r="K57">
        <f>G57*H57*I57*E57</f>
        <v>0.67499999999999993</v>
      </c>
      <c r="L57" s="328"/>
    </row>
    <row r="58" spans="1:15" x14ac:dyDescent="0.3">
      <c r="A58" s="304">
        <v>6.3</v>
      </c>
      <c r="B58" t="s">
        <v>494</v>
      </c>
      <c r="E58">
        <v>2</v>
      </c>
      <c r="G58">
        <v>0.8</v>
      </c>
      <c r="H58">
        <v>0.15</v>
      </c>
      <c r="I58">
        <v>3</v>
      </c>
      <c r="J58" t="s">
        <v>359</v>
      </c>
      <c r="K58">
        <f>G58*H58*I58*E58</f>
        <v>0.72</v>
      </c>
      <c r="L58" s="328"/>
    </row>
    <row r="59" spans="1:15" x14ac:dyDescent="0.3">
      <c r="A59" s="304">
        <v>6.4</v>
      </c>
      <c r="B59" t="s">
        <v>495</v>
      </c>
      <c r="E59">
        <v>1</v>
      </c>
      <c r="G59">
        <v>1.4</v>
      </c>
      <c r="H59">
        <v>0.15</v>
      </c>
      <c r="I59">
        <v>3</v>
      </c>
      <c r="J59" t="s">
        <v>359</v>
      </c>
      <c r="K59">
        <f>G59*H59*I59*E59</f>
        <v>0.63</v>
      </c>
      <c r="L59" s="328"/>
    </row>
    <row r="60" spans="1:15" x14ac:dyDescent="0.3">
      <c r="A60" s="304">
        <v>6.5</v>
      </c>
      <c r="L60" s="328"/>
    </row>
    <row r="61" spans="1:15" x14ac:dyDescent="0.3">
      <c r="A61" s="304">
        <v>6.6</v>
      </c>
      <c r="L61" s="328"/>
    </row>
    <row r="62" spans="1:15" x14ac:dyDescent="0.3">
      <c r="A62" s="304" t="s">
        <v>496</v>
      </c>
      <c r="B62" s="298" t="s">
        <v>497</v>
      </c>
      <c r="C62" s="298"/>
      <c r="D62" s="298"/>
      <c r="L62" s="328">
        <f>K63+K64</f>
        <v>0.37343971874999987</v>
      </c>
      <c r="O62">
        <f>+O63+O64</f>
        <v>85.024499999999989</v>
      </c>
    </row>
    <row r="63" spans="1:15" x14ac:dyDescent="0.3">
      <c r="A63" s="304">
        <v>6.8</v>
      </c>
      <c r="B63" t="s">
        <v>498</v>
      </c>
      <c r="G63">
        <v>74.819999999999993</v>
      </c>
      <c r="H63">
        <v>0.2</v>
      </c>
      <c r="I63">
        <v>0.35</v>
      </c>
      <c r="J63" t="s">
        <v>359</v>
      </c>
      <c r="K63">
        <f>H63*I63*H63*I63*G63</f>
        <v>0.36661799999999989</v>
      </c>
      <c r="L63" s="328"/>
      <c r="N63">
        <f>0.35+0.35+0.4</f>
        <v>1.1000000000000001</v>
      </c>
      <c r="O63">
        <f>+G63*N63</f>
        <v>82.301999999999992</v>
      </c>
    </row>
    <row r="64" spans="1:15" x14ac:dyDescent="0.3">
      <c r="A64" s="304">
        <v>6.9</v>
      </c>
      <c r="B64" t="s">
        <v>499</v>
      </c>
      <c r="G64">
        <v>2.4750000000000001</v>
      </c>
      <c r="H64">
        <v>0.15</v>
      </c>
      <c r="I64">
        <v>0.35</v>
      </c>
      <c r="J64" t="s">
        <v>359</v>
      </c>
      <c r="K64">
        <f>H64*I64*H64*I64*G64</f>
        <v>6.8217187500000005E-3</v>
      </c>
      <c r="L64" s="328"/>
      <c r="N64">
        <f>0.35+0.35+0.4</f>
        <v>1.1000000000000001</v>
      </c>
      <c r="O64">
        <f>+G64*N64</f>
        <v>2.7225000000000001</v>
      </c>
    </row>
    <row r="65" spans="1:12" x14ac:dyDescent="0.3">
      <c r="A65" s="304">
        <v>7</v>
      </c>
      <c r="B65" s="298" t="s">
        <v>351</v>
      </c>
      <c r="C65" s="298"/>
      <c r="L65" s="328"/>
    </row>
    <row r="66" spans="1:12" x14ac:dyDescent="0.3">
      <c r="A66" s="304">
        <v>7.1</v>
      </c>
      <c r="B66" t="s">
        <v>500</v>
      </c>
      <c r="L66" s="328">
        <f>K67+K68+K69+K70+K71+K72+K73+K74</f>
        <v>212.5</v>
      </c>
    </row>
    <row r="67" spans="1:12" x14ac:dyDescent="0.3">
      <c r="A67" s="304">
        <v>7.2</v>
      </c>
      <c r="B67" t="s">
        <v>501</v>
      </c>
      <c r="G67">
        <v>7.2</v>
      </c>
      <c r="H67">
        <v>8.1</v>
      </c>
      <c r="J67" t="s">
        <v>0</v>
      </c>
      <c r="K67">
        <f t="shared" ref="K67:K74" si="2">G67*H67</f>
        <v>58.32</v>
      </c>
      <c r="L67" s="328"/>
    </row>
    <row r="68" spans="1:12" x14ac:dyDescent="0.3">
      <c r="A68" s="304">
        <v>7.3</v>
      </c>
      <c r="B68" t="s">
        <v>502</v>
      </c>
      <c r="G68">
        <v>4</v>
      </c>
      <c r="H68">
        <v>3.4</v>
      </c>
      <c r="J68" t="s">
        <v>0</v>
      </c>
      <c r="K68">
        <f t="shared" si="2"/>
        <v>13.6</v>
      </c>
      <c r="L68" s="328"/>
    </row>
    <row r="69" spans="1:12" x14ac:dyDescent="0.3">
      <c r="A69" s="304">
        <v>7.4</v>
      </c>
      <c r="B69" t="s">
        <v>503</v>
      </c>
      <c r="G69">
        <v>6</v>
      </c>
      <c r="H69">
        <v>3.4</v>
      </c>
      <c r="J69" t="s">
        <v>0</v>
      </c>
      <c r="K69">
        <f t="shared" si="2"/>
        <v>20.399999999999999</v>
      </c>
      <c r="L69" s="328"/>
    </row>
    <row r="70" spans="1:12" x14ac:dyDescent="0.3">
      <c r="A70" s="304">
        <v>7.5</v>
      </c>
      <c r="B70" t="s">
        <v>504</v>
      </c>
      <c r="G70">
        <v>6</v>
      </c>
      <c r="H70">
        <v>2.2999999999999998</v>
      </c>
      <c r="J70" t="s">
        <v>0</v>
      </c>
      <c r="K70">
        <f t="shared" si="2"/>
        <v>13.799999999999999</v>
      </c>
      <c r="L70" s="328"/>
    </row>
    <row r="71" spans="1:12" x14ac:dyDescent="0.3">
      <c r="A71" s="304">
        <v>7.6</v>
      </c>
      <c r="B71" t="s">
        <v>505</v>
      </c>
      <c r="G71">
        <v>5.5</v>
      </c>
      <c r="H71">
        <v>4.2</v>
      </c>
      <c r="J71" t="s">
        <v>0</v>
      </c>
      <c r="K71">
        <f t="shared" si="2"/>
        <v>23.1</v>
      </c>
      <c r="L71" s="328"/>
    </row>
    <row r="72" spans="1:12" x14ac:dyDescent="0.3">
      <c r="A72" s="304">
        <v>7.7</v>
      </c>
      <c r="B72" t="s">
        <v>506</v>
      </c>
      <c r="G72">
        <v>6.2</v>
      </c>
      <c r="H72">
        <v>5.0999999999999996</v>
      </c>
      <c r="J72" t="s">
        <v>0</v>
      </c>
      <c r="K72">
        <f t="shared" si="2"/>
        <v>31.619999999999997</v>
      </c>
      <c r="L72" s="328"/>
    </row>
    <row r="73" spans="1:12" x14ac:dyDescent="0.3">
      <c r="A73" s="304">
        <v>7.8</v>
      </c>
      <c r="B73" t="s">
        <v>507</v>
      </c>
      <c r="G73">
        <v>8.1999999999999993</v>
      </c>
      <c r="H73">
        <v>3.9</v>
      </c>
      <c r="J73" t="s">
        <v>0</v>
      </c>
      <c r="K73">
        <f t="shared" si="2"/>
        <v>31.979999999999997</v>
      </c>
      <c r="L73" s="328"/>
    </row>
    <row r="74" spans="1:12" x14ac:dyDescent="0.3">
      <c r="A74" s="304">
        <v>7.9</v>
      </c>
      <c r="B74" t="s">
        <v>508</v>
      </c>
      <c r="G74">
        <v>8.1999999999999993</v>
      </c>
      <c r="H74">
        <v>2.4</v>
      </c>
      <c r="J74" t="s">
        <v>0</v>
      </c>
      <c r="K74">
        <f t="shared" si="2"/>
        <v>19.679999999999996</v>
      </c>
      <c r="L74" s="328"/>
    </row>
    <row r="75" spans="1:12" x14ac:dyDescent="0.3">
      <c r="A75" s="304">
        <v>8</v>
      </c>
      <c r="B75" s="298" t="s">
        <v>352</v>
      </c>
      <c r="L75" s="328"/>
    </row>
    <row r="76" spans="1:12" x14ac:dyDescent="0.3">
      <c r="A76" s="304">
        <v>8.1</v>
      </c>
      <c r="B76" t="s">
        <v>422</v>
      </c>
      <c r="L76" s="328">
        <f>L66</f>
        <v>212.5</v>
      </c>
    </row>
    <row r="77" spans="1:12" x14ac:dyDescent="0.3">
      <c r="A77" s="304">
        <v>8.1999999999999993</v>
      </c>
      <c r="B77" s="298" t="s">
        <v>353</v>
      </c>
      <c r="L77" s="328"/>
    </row>
    <row r="78" spans="1:12" x14ac:dyDescent="0.3">
      <c r="A78" s="304">
        <v>8.3000000000000007</v>
      </c>
      <c r="B78" t="s">
        <v>509</v>
      </c>
      <c r="C78" t="s">
        <v>553</v>
      </c>
      <c r="L78" s="328">
        <f>K79</f>
        <v>184.3</v>
      </c>
    </row>
    <row r="79" spans="1:12" x14ac:dyDescent="0.3">
      <c r="A79" s="304">
        <v>8.4</v>
      </c>
      <c r="B79" t="s">
        <v>510</v>
      </c>
      <c r="G79">
        <v>184.3</v>
      </c>
      <c r="J79" t="s">
        <v>251</v>
      </c>
      <c r="K79">
        <v>184.3</v>
      </c>
      <c r="L79" s="328"/>
    </row>
    <row r="80" spans="1:12" x14ac:dyDescent="0.3">
      <c r="A80" s="304">
        <v>8.5</v>
      </c>
      <c r="B80" s="298" t="s">
        <v>511</v>
      </c>
      <c r="L80" s="328"/>
    </row>
    <row r="81" spans="1:12" x14ac:dyDescent="0.3">
      <c r="A81" s="304">
        <v>8.6</v>
      </c>
      <c r="B81" s="300" t="s">
        <v>428</v>
      </c>
      <c r="C81" s="300"/>
      <c r="L81" s="328">
        <f>K82+K84+K85+K86+K87+K89+K90+K91+K92+K93+K94+K95+K96+K97+K98+K88+K83</f>
        <v>483.94</v>
      </c>
    </row>
    <row r="82" spans="1:12" x14ac:dyDescent="0.3">
      <c r="A82" s="304">
        <v>8.6999999999999993</v>
      </c>
      <c r="B82" t="s">
        <v>473</v>
      </c>
      <c r="E82">
        <v>2</v>
      </c>
      <c r="G82">
        <v>13.9</v>
      </c>
      <c r="I82">
        <v>3</v>
      </c>
      <c r="J82" t="s">
        <v>0</v>
      </c>
      <c r="K82">
        <f t="shared" ref="K82:K98" si="3">G82*I82*E82</f>
        <v>83.4</v>
      </c>
      <c r="L82" s="328"/>
    </row>
    <row r="83" spans="1:12" x14ac:dyDescent="0.3">
      <c r="A83" s="304">
        <v>8.8000000000000007</v>
      </c>
      <c r="B83" t="s">
        <v>474</v>
      </c>
      <c r="E83">
        <v>1</v>
      </c>
      <c r="G83">
        <v>11.6</v>
      </c>
      <c r="I83">
        <v>3</v>
      </c>
      <c r="J83" t="s">
        <v>0</v>
      </c>
      <c r="K83">
        <f t="shared" si="3"/>
        <v>34.799999999999997</v>
      </c>
      <c r="L83" s="328"/>
    </row>
    <row r="84" spans="1:12" x14ac:dyDescent="0.3">
      <c r="A84" s="304">
        <v>8.9</v>
      </c>
      <c r="B84" t="s">
        <v>475</v>
      </c>
      <c r="E84">
        <v>1</v>
      </c>
      <c r="G84">
        <v>5.5</v>
      </c>
      <c r="I84">
        <v>3</v>
      </c>
      <c r="J84" t="s">
        <v>0</v>
      </c>
      <c r="K84">
        <f t="shared" si="3"/>
        <v>16.5</v>
      </c>
      <c r="L84" s="328"/>
    </row>
    <row r="85" spans="1:12" x14ac:dyDescent="0.3">
      <c r="A85" s="304">
        <v>9</v>
      </c>
      <c r="B85" t="s">
        <v>476</v>
      </c>
      <c r="E85">
        <v>3</v>
      </c>
      <c r="G85">
        <v>6.2</v>
      </c>
      <c r="I85">
        <v>3</v>
      </c>
      <c r="J85" t="s">
        <v>0</v>
      </c>
      <c r="K85">
        <f t="shared" si="3"/>
        <v>55.800000000000004</v>
      </c>
      <c r="L85" s="328"/>
    </row>
    <row r="86" spans="1:12" x14ac:dyDescent="0.3">
      <c r="A86" s="304">
        <v>9.1</v>
      </c>
      <c r="B86" t="s">
        <v>477</v>
      </c>
      <c r="E86">
        <v>2</v>
      </c>
      <c r="G86">
        <v>5.7</v>
      </c>
      <c r="I86">
        <v>3</v>
      </c>
      <c r="J86" t="s">
        <v>0</v>
      </c>
      <c r="K86">
        <f t="shared" si="3"/>
        <v>34.200000000000003</v>
      </c>
      <c r="L86" s="328"/>
    </row>
    <row r="87" spans="1:12" x14ac:dyDescent="0.3">
      <c r="A87" s="304">
        <v>9.1999999999999993</v>
      </c>
      <c r="B87" t="s">
        <v>478</v>
      </c>
      <c r="E87">
        <v>2</v>
      </c>
      <c r="G87">
        <v>4.2</v>
      </c>
      <c r="I87">
        <v>3</v>
      </c>
      <c r="J87" t="s">
        <v>0</v>
      </c>
      <c r="K87">
        <f t="shared" si="3"/>
        <v>25.200000000000003</v>
      </c>
      <c r="L87" s="328"/>
    </row>
    <row r="88" spans="1:12" x14ac:dyDescent="0.3">
      <c r="A88" s="304">
        <v>9.3000000000000007</v>
      </c>
      <c r="B88" t="s">
        <v>479</v>
      </c>
      <c r="E88">
        <v>3</v>
      </c>
      <c r="G88">
        <v>2.2999999999999998</v>
      </c>
      <c r="I88">
        <v>3</v>
      </c>
      <c r="J88" t="s">
        <v>0</v>
      </c>
      <c r="K88">
        <f t="shared" si="3"/>
        <v>20.7</v>
      </c>
      <c r="L88" s="328"/>
    </row>
    <row r="89" spans="1:12" x14ac:dyDescent="0.3">
      <c r="A89" s="304">
        <v>9.4</v>
      </c>
      <c r="B89" t="s">
        <v>480</v>
      </c>
      <c r="E89">
        <v>2</v>
      </c>
      <c r="G89">
        <v>1.2</v>
      </c>
      <c r="I89">
        <v>3</v>
      </c>
      <c r="J89" t="s">
        <v>0</v>
      </c>
      <c r="K89">
        <f t="shared" si="3"/>
        <v>7.1999999999999993</v>
      </c>
      <c r="L89" s="328"/>
    </row>
    <row r="90" spans="1:12" x14ac:dyDescent="0.3">
      <c r="A90" s="304">
        <v>9.5</v>
      </c>
      <c r="B90" t="s">
        <v>512</v>
      </c>
      <c r="E90">
        <v>1</v>
      </c>
      <c r="G90">
        <v>5.7</v>
      </c>
      <c r="I90">
        <v>5.3</v>
      </c>
      <c r="J90" t="s">
        <v>0</v>
      </c>
      <c r="K90">
        <f t="shared" si="3"/>
        <v>30.21</v>
      </c>
      <c r="L90" s="328"/>
    </row>
    <row r="91" spans="1:12" x14ac:dyDescent="0.3">
      <c r="A91" s="304">
        <v>9.6</v>
      </c>
      <c r="B91" t="s">
        <v>482</v>
      </c>
      <c r="E91">
        <v>1</v>
      </c>
      <c r="G91">
        <v>7.5</v>
      </c>
      <c r="I91">
        <v>5.3</v>
      </c>
      <c r="J91" t="s">
        <v>0</v>
      </c>
      <c r="K91">
        <f t="shared" si="3"/>
        <v>39.75</v>
      </c>
      <c r="L91" s="328"/>
    </row>
    <row r="92" spans="1:12" x14ac:dyDescent="0.3">
      <c r="A92" s="304">
        <v>9.6999999999999993</v>
      </c>
      <c r="B92" t="s">
        <v>513</v>
      </c>
      <c r="E92">
        <v>1</v>
      </c>
      <c r="G92">
        <v>8.6999999999999993</v>
      </c>
      <c r="I92">
        <v>3</v>
      </c>
      <c r="J92" t="s">
        <v>0</v>
      </c>
      <c r="K92">
        <f t="shared" si="3"/>
        <v>26.099999999999998</v>
      </c>
      <c r="L92" s="328"/>
    </row>
    <row r="93" spans="1:12" x14ac:dyDescent="0.3">
      <c r="A93" s="304">
        <v>9.8000000000000007</v>
      </c>
      <c r="B93" t="s">
        <v>514</v>
      </c>
      <c r="E93">
        <v>1</v>
      </c>
      <c r="G93">
        <v>3.1</v>
      </c>
      <c r="I93">
        <v>5.3</v>
      </c>
      <c r="J93" t="s">
        <v>0</v>
      </c>
      <c r="K93">
        <f t="shared" si="3"/>
        <v>16.43</v>
      </c>
      <c r="L93" s="328"/>
    </row>
    <row r="94" spans="1:12" x14ac:dyDescent="0.3">
      <c r="A94" s="304">
        <v>9.9</v>
      </c>
      <c r="B94" t="s">
        <v>515</v>
      </c>
      <c r="E94">
        <v>1</v>
      </c>
      <c r="G94">
        <v>3.8</v>
      </c>
      <c r="I94">
        <v>3</v>
      </c>
      <c r="J94" t="s">
        <v>0</v>
      </c>
      <c r="K94">
        <f t="shared" si="3"/>
        <v>11.399999999999999</v>
      </c>
      <c r="L94" s="328"/>
    </row>
    <row r="95" spans="1:12" x14ac:dyDescent="0.3">
      <c r="A95" s="304">
        <v>10</v>
      </c>
      <c r="B95" t="s">
        <v>516</v>
      </c>
      <c r="E95">
        <v>4</v>
      </c>
      <c r="G95">
        <v>3.4</v>
      </c>
      <c r="I95">
        <v>3</v>
      </c>
      <c r="J95" t="s">
        <v>0</v>
      </c>
      <c r="K95">
        <f t="shared" si="3"/>
        <v>40.799999999999997</v>
      </c>
      <c r="L95" s="328"/>
    </row>
    <row r="96" spans="1:12" x14ac:dyDescent="0.3">
      <c r="A96" s="304">
        <v>10.1</v>
      </c>
      <c r="B96" t="s">
        <v>517</v>
      </c>
      <c r="E96">
        <v>2</v>
      </c>
      <c r="G96">
        <v>3</v>
      </c>
      <c r="I96">
        <v>3</v>
      </c>
      <c r="J96" t="s">
        <v>0</v>
      </c>
      <c r="K96">
        <f t="shared" si="3"/>
        <v>18</v>
      </c>
      <c r="L96" s="328"/>
    </row>
    <row r="97" spans="1:12" x14ac:dyDescent="0.3">
      <c r="A97" s="304">
        <v>10.199999999999999</v>
      </c>
      <c r="B97" t="s">
        <v>518</v>
      </c>
      <c r="E97">
        <v>1</v>
      </c>
      <c r="G97">
        <v>2.5</v>
      </c>
      <c r="I97">
        <v>5.3</v>
      </c>
      <c r="J97" t="s">
        <v>0</v>
      </c>
      <c r="K97">
        <f t="shared" si="3"/>
        <v>13.25</v>
      </c>
      <c r="L97" s="328"/>
    </row>
    <row r="98" spans="1:12" x14ac:dyDescent="0.3">
      <c r="A98" s="304">
        <v>10.3</v>
      </c>
      <c r="B98" t="s">
        <v>519</v>
      </c>
      <c r="E98">
        <v>2</v>
      </c>
      <c r="G98">
        <v>1.7</v>
      </c>
      <c r="I98">
        <v>3</v>
      </c>
      <c r="J98" t="s">
        <v>0</v>
      </c>
      <c r="K98">
        <f t="shared" si="3"/>
        <v>10.199999999999999</v>
      </c>
      <c r="L98" s="328"/>
    </row>
    <row r="99" spans="1:12" x14ac:dyDescent="0.3">
      <c r="A99" s="304">
        <v>10.4</v>
      </c>
      <c r="B99" s="300" t="s">
        <v>520</v>
      </c>
      <c r="C99" s="300"/>
      <c r="L99" s="328">
        <f>K100+K101+K102+K103+K104+K105+K106+K108+K107+K109+K111+K110+K112+K113+K114+K115+K116+K117+K118+K119+K120</f>
        <v>656.79999999999984</v>
      </c>
    </row>
    <row r="100" spans="1:12" x14ac:dyDescent="0.3">
      <c r="A100" s="304">
        <v>10.5</v>
      </c>
      <c r="B100" t="s">
        <v>473</v>
      </c>
      <c r="E100">
        <v>3</v>
      </c>
      <c r="G100">
        <v>7.2</v>
      </c>
      <c r="I100">
        <v>3</v>
      </c>
      <c r="J100" t="s">
        <v>0</v>
      </c>
      <c r="K100">
        <f t="shared" ref="K100:K108" si="4">G100*I100*E100</f>
        <v>64.800000000000011</v>
      </c>
      <c r="L100" s="328"/>
    </row>
    <row r="101" spans="1:12" x14ac:dyDescent="0.3">
      <c r="A101" s="304">
        <v>10.6</v>
      </c>
      <c r="B101" t="s">
        <v>474</v>
      </c>
      <c r="E101">
        <v>1</v>
      </c>
      <c r="G101">
        <v>5.5</v>
      </c>
      <c r="I101">
        <v>3</v>
      </c>
      <c r="J101" t="s">
        <v>0</v>
      </c>
      <c r="K101">
        <f t="shared" si="4"/>
        <v>16.5</v>
      </c>
      <c r="L101" s="328"/>
    </row>
    <row r="102" spans="1:12" x14ac:dyDescent="0.3">
      <c r="A102" s="304">
        <v>10.7</v>
      </c>
      <c r="B102" t="s">
        <v>475</v>
      </c>
      <c r="E102">
        <v>1</v>
      </c>
      <c r="G102">
        <v>8</v>
      </c>
      <c r="I102">
        <v>3</v>
      </c>
      <c r="J102" t="s">
        <v>0</v>
      </c>
      <c r="K102">
        <f t="shared" si="4"/>
        <v>24</v>
      </c>
      <c r="L102" s="328"/>
    </row>
    <row r="103" spans="1:12" x14ac:dyDescent="0.3">
      <c r="A103" s="304">
        <v>10.8</v>
      </c>
      <c r="B103" t="s">
        <v>476</v>
      </c>
      <c r="E103">
        <v>1</v>
      </c>
      <c r="G103">
        <v>3.2</v>
      </c>
      <c r="I103">
        <v>3</v>
      </c>
      <c r="J103" t="s">
        <v>0</v>
      </c>
      <c r="K103">
        <f t="shared" si="4"/>
        <v>9.6000000000000014</v>
      </c>
      <c r="L103" s="328"/>
    </row>
    <row r="104" spans="1:12" x14ac:dyDescent="0.3">
      <c r="A104" s="304">
        <v>10.9</v>
      </c>
      <c r="B104" t="s">
        <v>477</v>
      </c>
      <c r="E104">
        <v>1</v>
      </c>
      <c r="G104">
        <v>1.9</v>
      </c>
      <c r="I104">
        <v>3</v>
      </c>
      <c r="J104" t="s">
        <v>0</v>
      </c>
      <c r="K104">
        <f t="shared" si="4"/>
        <v>5.6999999999999993</v>
      </c>
      <c r="L104" s="328"/>
    </row>
    <row r="105" spans="1:12" x14ac:dyDescent="0.3">
      <c r="A105" s="304">
        <v>11</v>
      </c>
      <c r="B105" t="s">
        <v>478</v>
      </c>
      <c r="E105">
        <v>2</v>
      </c>
      <c r="G105">
        <v>1.7</v>
      </c>
      <c r="I105">
        <v>3</v>
      </c>
      <c r="J105" t="s">
        <v>0</v>
      </c>
      <c r="K105">
        <f t="shared" si="4"/>
        <v>10.199999999999999</v>
      </c>
      <c r="L105" s="328"/>
    </row>
    <row r="106" spans="1:12" x14ac:dyDescent="0.3">
      <c r="A106" s="304">
        <v>11.1</v>
      </c>
      <c r="B106" t="s">
        <v>479</v>
      </c>
      <c r="E106">
        <v>1</v>
      </c>
      <c r="G106">
        <v>13.7</v>
      </c>
      <c r="I106">
        <v>3</v>
      </c>
      <c r="J106" t="s">
        <v>0</v>
      </c>
      <c r="K106">
        <f t="shared" si="4"/>
        <v>41.099999999999994</v>
      </c>
      <c r="L106" s="328"/>
    </row>
    <row r="107" spans="1:12" x14ac:dyDescent="0.3">
      <c r="A107" s="304">
        <v>11.2</v>
      </c>
      <c r="B107" t="s">
        <v>480</v>
      </c>
      <c r="E107">
        <v>3</v>
      </c>
      <c r="G107">
        <v>6</v>
      </c>
      <c r="I107">
        <v>3</v>
      </c>
      <c r="J107" t="s">
        <v>0</v>
      </c>
      <c r="K107">
        <f t="shared" si="4"/>
        <v>54</v>
      </c>
      <c r="L107" s="328"/>
    </row>
    <row r="108" spans="1:12" x14ac:dyDescent="0.3">
      <c r="A108" s="304">
        <v>11.3</v>
      </c>
      <c r="B108" t="s">
        <v>481</v>
      </c>
      <c r="E108">
        <v>10</v>
      </c>
      <c r="G108">
        <v>3.4</v>
      </c>
      <c r="I108">
        <v>3</v>
      </c>
      <c r="J108" t="s">
        <v>0</v>
      </c>
      <c r="K108">
        <f t="shared" si="4"/>
        <v>102</v>
      </c>
      <c r="L108" s="328"/>
    </row>
    <row r="109" spans="1:12" x14ac:dyDescent="0.3">
      <c r="A109" s="304">
        <v>11.4</v>
      </c>
      <c r="B109" t="s">
        <v>521</v>
      </c>
      <c r="E109">
        <v>6</v>
      </c>
      <c r="G109">
        <v>4</v>
      </c>
      <c r="I109">
        <v>3</v>
      </c>
      <c r="J109" t="s">
        <v>0</v>
      </c>
      <c r="K109">
        <f t="shared" ref="K109:K118" si="5">E109*G109*I109</f>
        <v>72</v>
      </c>
      <c r="L109" s="328"/>
    </row>
    <row r="110" spans="1:12" x14ac:dyDescent="0.3">
      <c r="A110" s="304">
        <v>11.5</v>
      </c>
      <c r="B110" t="s">
        <v>483</v>
      </c>
      <c r="E110">
        <v>7</v>
      </c>
      <c r="G110">
        <v>2.2999999999999998</v>
      </c>
      <c r="I110">
        <v>3</v>
      </c>
      <c r="J110" t="s">
        <v>0</v>
      </c>
      <c r="K110">
        <f t="shared" si="5"/>
        <v>48.3</v>
      </c>
      <c r="L110" s="328"/>
    </row>
    <row r="111" spans="1:12" x14ac:dyDescent="0.3">
      <c r="A111" s="304">
        <v>11.6</v>
      </c>
      <c r="B111" t="s">
        <v>484</v>
      </c>
      <c r="E111">
        <v>4</v>
      </c>
      <c r="G111">
        <v>1.1000000000000001</v>
      </c>
      <c r="I111">
        <v>3</v>
      </c>
      <c r="J111" t="s">
        <v>0</v>
      </c>
      <c r="K111">
        <f t="shared" si="5"/>
        <v>13.200000000000001</v>
      </c>
      <c r="L111" s="328"/>
    </row>
    <row r="112" spans="1:12" x14ac:dyDescent="0.3">
      <c r="A112" s="304">
        <v>11.7</v>
      </c>
      <c r="B112" t="s">
        <v>485</v>
      </c>
      <c r="E112">
        <v>4</v>
      </c>
      <c r="G112">
        <v>1.2</v>
      </c>
      <c r="I112">
        <v>3</v>
      </c>
      <c r="J112" t="s">
        <v>0</v>
      </c>
      <c r="K112">
        <f t="shared" si="5"/>
        <v>14.399999999999999</v>
      </c>
      <c r="L112" s="328"/>
    </row>
    <row r="113" spans="1:12" x14ac:dyDescent="0.3">
      <c r="A113" s="304">
        <v>11.8</v>
      </c>
      <c r="B113" t="s">
        <v>486</v>
      </c>
      <c r="E113">
        <v>6</v>
      </c>
      <c r="G113">
        <v>0.8</v>
      </c>
      <c r="I113">
        <v>3</v>
      </c>
      <c r="J113" t="s">
        <v>0</v>
      </c>
      <c r="K113">
        <f t="shared" si="5"/>
        <v>14.400000000000002</v>
      </c>
      <c r="L113" s="328"/>
    </row>
    <row r="114" spans="1:12" x14ac:dyDescent="0.3">
      <c r="A114" s="304">
        <v>11.9</v>
      </c>
      <c r="B114" t="s">
        <v>522</v>
      </c>
      <c r="E114">
        <v>5</v>
      </c>
      <c r="G114">
        <v>1.4</v>
      </c>
      <c r="I114">
        <v>3</v>
      </c>
      <c r="J114" t="s">
        <v>0</v>
      </c>
      <c r="K114">
        <f t="shared" si="5"/>
        <v>21</v>
      </c>
      <c r="L114" s="328"/>
    </row>
    <row r="115" spans="1:12" x14ac:dyDescent="0.3">
      <c r="A115" s="304">
        <v>12</v>
      </c>
      <c r="B115" t="s">
        <v>488</v>
      </c>
      <c r="E115">
        <v>1</v>
      </c>
      <c r="G115">
        <v>11</v>
      </c>
      <c r="I115">
        <v>3</v>
      </c>
      <c r="J115" t="s">
        <v>0</v>
      </c>
      <c r="K115">
        <f t="shared" si="5"/>
        <v>33</v>
      </c>
      <c r="L115" s="328"/>
    </row>
    <row r="116" spans="1:12" x14ac:dyDescent="0.3">
      <c r="A116" s="304">
        <v>12.1</v>
      </c>
      <c r="B116" t="s">
        <v>489</v>
      </c>
      <c r="E116">
        <v>2</v>
      </c>
      <c r="G116">
        <v>4.3</v>
      </c>
      <c r="I116">
        <v>3</v>
      </c>
      <c r="J116" t="s">
        <v>0</v>
      </c>
      <c r="K116">
        <f t="shared" si="5"/>
        <v>25.799999999999997</v>
      </c>
      <c r="L116" s="328"/>
    </row>
    <row r="117" spans="1:12" x14ac:dyDescent="0.3">
      <c r="A117" s="304">
        <v>12.2</v>
      </c>
      <c r="B117" t="s">
        <v>490</v>
      </c>
      <c r="E117">
        <v>4</v>
      </c>
      <c r="G117">
        <v>2.7</v>
      </c>
      <c r="I117">
        <v>3</v>
      </c>
      <c r="J117" t="s">
        <v>0</v>
      </c>
      <c r="K117">
        <f t="shared" si="5"/>
        <v>32.400000000000006</v>
      </c>
      <c r="L117" s="328"/>
    </row>
    <row r="118" spans="1:12" x14ac:dyDescent="0.3">
      <c r="A118" s="304">
        <v>12.3</v>
      </c>
      <c r="B118" t="s">
        <v>523</v>
      </c>
      <c r="E118">
        <v>1</v>
      </c>
      <c r="G118">
        <v>5.5</v>
      </c>
      <c r="I118">
        <v>4</v>
      </c>
      <c r="J118" t="s">
        <v>0</v>
      </c>
      <c r="K118">
        <f t="shared" si="5"/>
        <v>22</v>
      </c>
      <c r="L118" s="328"/>
    </row>
    <row r="119" spans="1:12" x14ac:dyDescent="0.3">
      <c r="A119" s="304">
        <v>12.4</v>
      </c>
      <c r="B119" t="s">
        <v>524</v>
      </c>
      <c r="E119">
        <v>1</v>
      </c>
      <c r="G119">
        <v>5</v>
      </c>
      <c r="I119">
        <v>4</v>
      </c>
      <c r="J119" t="s">
        <v>0</v>
      </c>
      <c r="K119">
        <f>G119*I119*E119</f>
        <v>20</v>
      </c>
      <c r="L119" s="328"/>
    </row>
    <row r="120" spans="1:12" x14ac:dyDescent="0.3">
      <c r="A120" s="304">
        <v>12.5</v>
      </c>
      <c r="B120" t="s">
        <v>525</v>
      </c>
      <c r="E120">
        <v>1</v>
      </c>
      <c r="G120">
        <v>3.1</v>
      </c>
      <c r="I120">
        <v>4</v>
      </c>
      <c r="J120" t="s">
        <v>0</v>
      </c>
      <c r="K120">
        <f>E120*G120*I120</f>
        <v>12.4</v>
      </c>
      <c r="L120" s="328"/>
    </row>
    <row r="121" spans="1:12" x14ac:dyDescent="0.3">
      <c r="A121" s="304">
        <v>12.6</v>
      </c>
      <c r="B121" s="298" t="s">
        <v>355</v>
      </c>
      <c r="L121" s="328">
        <f>K122+K123+K124+K125</f>
        <v>1144.1909999999998</v>
      </c>
    </row>
    <row r="122" spans="1:12" x14ac:dyDescent="0.3">
      <c r="A122" s="304">
        <v>12.7</v>
      </c>
      <c r="B122" t="s">
        <v>526</v>
      </c>
      <c r="D122" t="s">
        <v>527</v>
      </c>
      <c r="K122">
        <f>L81</f>
        <v>483.94</v>
      </c>
      <c r="L122" s="328"/>
    </row>
    <row r="123" spans="1:12" x14ac:dyDescent="0.3">
      <c r="A123" s="304">
        <v>12.8</v>
      </c>
      <c r="B123" t="s">
        <v>528</v>
      </c>
      <c r="D123" t="s">
        <v>529</v>
      </c>
      <c r="K123">
        <f>L99</f>
        <v>656.79999999999984</v>
      </c>
      <c r="L123" s="328"/>
    </row>
    <row r="124" spans="1:12" x14ac:dyDescent="0.3">
      <c r="A124" s="304">
        <v>12.9</v>
      </c>
      <c r="B124" t="s">
        <v>530</v>
      </c>
      <c r="H124">
        <v>0.9</v>
      </c>
      <c r="I124">
        <v>2.0299999999999998</v>
      </c>
      <c r="J124" t="s">
        <v>0</v>
      </c>
      <c r="K124">
        <f>H124*I124</f>
        <v>1.827</v>
      </c>
      <c r="L124" s="328"/>
    </row>
    <row r="125" spans="1:12" x14ac:dyDescent="0.3">
      <c r="A125" s="304">
        <v>13</v>
      </c>
      <c r="B125" t="s">
        <v>530</v>
      </c>
      <c r="H125">
        <v>0.8</v>
      </c>
      <c r="I125">
        <v>2.0299999999999998</v>
      </c>
      <c r="J125" t="s">
        <v>0</v>
      </c>
      <c r="K125">
        <f>H125*I125</f>
        <v>1.6239999999999999</v>
      </c>
      <c r="L125" s="328"/>
    </row>
    <row r="126" spans="1:12" x14ac:dyDescent="0.3">
      <c r="A126" s="304">
        <v>13.1</v>
      </c>
      <c r="B126" s="298" t="s">
        <v>356</v>
      </c>
      <c r="C126" s="298"/>
      <c r="L126" s="328">
        <f>K127</f>
        <v>212.5</v>
      </c>
    </row>
    <row r="127" spans="1:12" x14ac:dyDescent="0.3">
      <c r="A127" s="304">
        <v>13.2</v>
      </c>
      <c r="B127" t="s">
        <v>531</v>
      </c>
      <c r="E127" t="s">
        <v>532</v>
      </c>
      <c r="K127">
        <f>L66</f>
        <v>212.5</v>
      </c>
      <c r="L127" s="328"/>
    </row>
    <row r="128" spans="1:12" x14ac:dyDescent="0.3">
      <c r="A128" s="304">
        <v>13.3</v>
      </c>
      <c r="B128" s="298" t="s">
        <v>533</v>
      </c>
      <c r="C128" s="298"/>
      <c r="L128" s="328"/>
    </row>
    <row r="129" spans="1:12" x14ac:dyDescent="0.3">
      <c r="A129" s="304">
        <v>13.4</v>
      </c>
      <c r="B129" s="300" t="s">
        <v>534</v>
      </c>
      <c r="C129" s="300"/>
      <c r="L129" s="328"/>
    </row>
    <row r="130" spans="1:12" x14ac:dyDescent="0.3">
      <c r="A130" s="304">
        <v>1.5</v>
      </c>
      <c r="B130" t="s">
        <v>535</v>
      </c>
      <c r="E130">
        <v>4</v>
      </c>
      <c r="J130" t="s">
        <v>536</v>
      </c>
      <c r="L130" s="328">
        <f t="shared" ref="L130:L135" si="6">E130</f>
        <v>4</v>
      </c>
    </row>
    <row r="131" spans="1:12" x14ac:dyDescent="0.3">
      <c r="A131" s="304">
        <v>13.6</v>
      </c>
      <c r="B131" t="s">
        <v>537</v>
      </c>
      <c r="E131">
        <v>3</v>
      </c>
      <c r="J131" t="s">
        <v>536</v>
      </c>
      <c r="L131" s="328">
        <f t="shared" si="6"/>
        <v>3</v>
      </c>
    </row>
    <row r="132" spans="1:12" x14ac:dyDescent="0.3">
      <c r="A132" s="304">
        <v>13.7</v>
      </c>
      <c r="B132" t="s">
        <v>538</v>
      </c>
      <c r="E132">
        <v>2</v>
      </c>
      <c r="J132" t="s">
        <v>536</v>
      </c>
      <c r="L132" s="328">
        <f t="shared" si="6"/>
        <v>2</v>
      </c>
    </row>
    <row r="133" spans="1:12" x14ac:dyDescent="0.3">
      <c r="A133" s="304">
        <v>13.8</v>
      </c>
      <c r="B133" t="s">
        <v>539</v>
      </c>
      <c r="E133">
        <v>2</v>
      </c>
      <c r="J133" t="s">
        <v>536</v>
      </c>
      <c r="L133" s="328">
        <f t="shared" si="6"/>
        <v>2</v>
      </c>
    </row>
    <row r="134" spans="1:12" x14ac:dyDescent="0.3">
      <c r="A134" s="304">
        <v>13.9</v>
      </c>
      <c r="B134" t="s">
        <v>540</v>
      </c>
      <c r="E134">
        <v>3</v>
      </c>
      <c r="J134" t="s">
        <v>536</v>
      </c>
      <c r="L134" s="328">
        <f t="shared" si="6"/>
        <v>3</v>
      </c>
    </row>
    <row r="135" spans="1:12" x14ac:dyDescent="0.3">
      <c r="A135" s="304">
        <v>14</v>
      </c>
      <c r="B135" t="s">
        <v>541</v>
      </c>
      <c r="E135">
        <v>1</v>
      </c>
      <c r="J135" t="s">
        <v>536</v>
      </c>
      <c r="L135" s="328">
        <f t="shared" si="6"/>
        <v>1</v>
      </c>
    </row>
    <row r="136" spans="1:12" x14ac:dyDescent="0.3">
      <c r="A136" s="304">
        <v>14.1</v>
      </c>
      <c r="B136" s="300" t="s">
        <v>542</v>
      </c>
      <c r="C136" s="300"/>
      <c r="L136" s="328"/>
    </row>
    <row r="137" spans="1:12" x14ac:dyDescent="0.3">
      <c r="A137" s="304">
        <v>14.2</v>
      </c>
      <c r="B137" t="s">
        <v>543</v>
      </c>
      <c r="E137">
        <v>4</v>
      </c>
      <c r="J137" t="s">
        <v>536</v>
      </c>
      <c r="L137" s="328">
        <f>E137</f>
        <v>4</v>
      </c>
    </row>
    <row r="138" spans="1:12" x14ac:dyDescent="0.3">
      <c r="A138" s="304">
        <v>14.3</v>
      </c>
      <c r="B138" t="s">
        <v>544</v>
      </c>
      <c r="C138" t="s">
        <v>545</v>
      </c>
      <c r="E138">
        <v>8</v>
      </c>
      <c r="J138" t="s">
        <v>536</v>
      </c>
      <c r="L138" s="328">
        <f>E138</f>
        <v>8</v>
      </c>
    </row>
    <row r="139" spans="1:12" x14ac:dyDescent="0.3">
      <c r="A139" s="304">
        <v>14.4</v>
      </c>
      <c r="B139" s="298" t="s">
        <v>546</v>
      </c>
      <c r="L139" s="328"/>
    </row>
    <row r="140" spans="1:12" x14ac:dyDescent="0.3">
      <c r="A140" s="304">
        <v>14.5</v>
      </c>
      <c r="B140" t="s">
        <v>547</v>
      </c>
      <c r="E140">
        <v>3</v>
      </c>
      <c r="H140">
        <v>1.5</v>
      </c>
      <c r="I140">
        <v>1.2</v>
      </c>
      <c r="K140">
        <f>L140</f>
        <v>5.3999999999999995</v>
      </c>
      <c r="L140" s="328">
        <f>E140*H140*I140</f>
        <v>5.3999999999999995</v>
      </c>
    </row>
    <row r="141" spans="1:12" x14ac:dyDescent="0.3">
      <c r="A141" s="304">
        <v>14.6</v>
      </c>
      <c r="B141" t="s">
        <v>548</v>
      </c>
      <c r="E141">
        <v>2</v>
      </c>
      <c r="H141">
        <v>2</v>
      </c>
      <c r="I141">
        <v>1.2</v>
      </c>
      <c r="K141">
        <f>E141*H141*I141</f>
        <v>4.8</v>
      </c>
      <c r="L141" s="328">
        <f>K141</f>
        <v>4.8</v>
      </c>
    </row>
    <row r="142" spans="1:12" x14ac:dyDescent="0.3">
      <c r="A142" s="304">
        <v>14.7</v>
      </c>
      <c r="B142" t="s">
        <v>549</v>
      </c>
      <c r="E142">
        <v>2</v>
      </c>
      <c r="H142">
        <v>1.2</v>
      </c>
      <c r="I142">
        <v>1.4</v>
      </c>
      <c r="K142">
        <f>H142*I142*E142</f>
        <v>3.36</v>
      </c>
      <c r="L142" s="328">
        <f>K142</f>
        <v>3.36</v>
      </c>
    </row>
    <row r="143" spans="1:12" x14ac:dyDescent="0.3">
      <c r="A143" s="304">
        <v>14.8</v>
      </c>
      <c r="B143" t="s">
        <v>550</v>
      </c>
      <c r="E143">
        <v>3</v>
      </c>
      <c r="H143">
        <v>0.5</v>
      </c>
      <c r="I143">
        <v>0.8</v>
      </c>
      <c r="K143">
        <f>H143*I143*E143</f>
        <v>1.2000000000000002</v>
      </c>
      <c r="L143" s="328">
        <f>K143</f>
        <v>1.2000000000000002</v>
      </c>
    </row>
    <row r="144" spans="1:12" x14ac:dyDescent="0.3">
      <c r="A144" s="304">
        <v>14.9</v>
      </c>
      <c r="B144" t="s">
        <v>551</v>
      </c>
      <c r="E144">
        <v>1</v>
      </c>
      <c r="H144">
        <v>2.2999999999999998</v>
      </c>
      <c r="I144">
        <v>1.4</v>
      </c>
      <c r="K144">
        <f>I144*H144*E144</f>
        <v>3.2199999999999998</v>
      </c>
      <c r="L144" s="328">
        <f>K144</f>
        <v>3.2199999999999998</v>
      </c>
    </row>
    <row r="145" spans="1:12" x14ac:dyDescent="0.3">
      <c r="A145" s="304"/>
      <c r="L145" s="328"/>
    </row>
    <row r="146" spans="1:12" ht="15" thickBot="1" x14ac:dyDescent="0.35">
      <c r="A146" s="304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30"/>
    </row>
    <row r="147" spans="1:12" x14ac:dyDescent="0.3">
      <c r="A147" s="304"/>
    </row>
    <row r="148" spans="1:12" ht="15" thickBot="1" x14ac:dyDescent="0.35">
      <c r="A148" s="30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76"/>
  <sheetViews>
    <sheetView topLeftCell="A5" zoomScale="104" zoomScaleNormal="95" workbookViewId="0">
      <selection activeCell="H13" sqref="H13"/>
    </sheetView>
  </sheetViews>
  <sheetFormatPr baseColWidth="10" defaultColWidth="11.625" defaultRowHeight="14.4" x14ac:dyDescent="0.3"/>
  <cols>
    <col min="1" max="1" width="2.25" customWidth="1"/>
    <col min="2" max="2" width="4.375" customWidth="1"/>
    <col min="3" max="3" width="8.625" style="281" customWidth="1"/>
    <col min="4" max="4" width="40.125" customWidth="1"/>
    <col min="6" max="6" width="14.375" style="281" customWidth="1"/>
    <col min="7" max="7" width="17.75" customWidth="1"/>
    <col min="8" max="8" width="17.625" customWidth="1"/>
    <col min="9" max="9" width="20.625" customWidth="1"/>
    <col min="10" max="10" width="13.25" customWidth="1"/>
  </cols>
  <sheetData>
    <row r="2" spans="2:11" ht="17.399999999999999" x14ac:dyDescent="0.3">
      <c r="C2" s="280" t="s">
        <v>345</v>
      </c>
      <c r="D2" s="269"/>
      <c r="E2" s="269"/>
      <c r="F2" s="280"/>
      <c r="G2" s="269"/>
      <c r="H2" s="269"/>
    </row>
    <row r="3" spans="2:11" ht="8.25" customHeight="1" x14ac:dyDescent="0.3">
      <c r="D3" s="269"/>
    </row>
    <row r="4" spans="2:11" ht="17.399999999999999" x14ac:dyDescent="0.3">
      <c r="C4" s="345" t="s">
        <v>22</v>
      </c>
      <c r="D4" s="345"/>
      <c r="E4" s="345"/>
      <c r="F4" s="345"/>
      <c r="G4" s="345"/>
      <c r="H4" s="345"/>
      <c r="I4" s="268"/>
      <c r="J4" s="1"/>
    </row>
    <row r="5" spans="2:11" ht="17.399999999999999" x14ac:dyDescent="0.3">
      <c r="C5" s="280"/>
      <c r="D5" s="269"/>
      <c r="E5" s="269"/>
      <c r="F5" s="280"/>
      <c r="G5" s="269"/>
      <c r="H5" s="269"/>
      <c r="I5" s="268"/>
      <c r="J5" s="1"/>
    </row>
    <row r="6" spans="2:11" ht="24" customHeight="1" x14ac:dyDescent="0.3">
      <c r="C6" s="280"/>
      <c r="D6" s="348" t="s">
        <v>23</v>
      </c>
      <c r="E6" s="349"/>
      <c r="F6" s="349"/>
      <c r="G6" s="349"/>
      <c r="H6" s="350"/>
      <c r="I6" s="268"/>
      <c r="J6" s="1"/>
    </row>
    <row r="7" spans="2:11" ht="5.25" customHeight="1" x14ac:dyDescent="0.3">
      <c r="C7" s="280"/>
      <c r="D7" s="270"/>
      <c r="E7" s="270"/>
      <c r="F7" s="270"/>
      <c r="G7" s="270"/>
      <c r="H7" s="270"/>
      <c r="I7" s="268"/>
      <c r="J7" s="1"/>
    </row>
    <row r="8" spans="2:11" ht="17.399999999999999" x14ac:dyDescent="0.3">
      <c r="C8" s="280"/>
      <c r="D8" s="269"/>
      <c r="E8" s="269"/>
      <c r="F8" s="280"/>
      <c r="G8" s="269"/>
      <c r="H8" s="55" t="s">
        <v>2</v>
      </c>
      <c r="I8" s="346"/>
      <c r="J8" s="347"/>
    </row>
    <row r="9" spans="2:11" ht="4.5" customHeight="1" thickBot="1" x14ac:dyDescent="0.35">
      <c r="C9" s="282"/>
      <c r="D9" s="2"/>
      <c r="E9" s="1"/>
      <c r="F9" s="288"/>
      <c r="G9" s="3"/>
      <c r="H9" s="3"/>
      <c r="I9" s="3"/>
      <c r="J9" s="1"/>
      <c r="K9" s="1"/>
    </row>
    <row r="10" spans="2:11" ht="15" thickTop="1" x14ac:dyDescent="0.3">
      <c r="C10" s="4" t="s">
        <v>3</v>
      </c>
      <c r="D10" s="5" t="s">
        <v>4</v>
      </c>
      <c r="E10" s="5" t="s">
        <v>5</v>
      </c>
      <c r="F10" s="315" t="s">
        <v>6</v>
      </c>
      <c r="G10" s="7" t="s">
        <v>7</v>
      </c>
      <c r="H10" s="6" t="s">
        <v>8</v>
      </c>
      <c r="I10" s="7"/>
      <c r="J10" s="5" t="s">
        <v>9</v>
      </c>
      <c r="K10" s="8"/>
    </row>
    <row r="11" spans="2:11" ht="15" thickBot="1" x14ac:dyDescent="0.35">
      <c r="C11" s="9"/>
      <c r="D11" s="10"/>
      <c r="E11" s="10"/>
      <c r="F11" s="316" t="s">
        <v>10</v>
      </c>
      <c r="G11" s="317" t="s">
        <v>11</v>
      </c>
      <c r="H11" s="11" t="s">
        <v>12</v>
      </c>
      <c r="I11" s="11" t="s">
        <v>10</v>
      </c>
      <c r="J11" s="10" t="s">
        <v>13</v>
      </c>
      <c r="K11" s="8"/>
    </row>
    <row r="12" spans="2:11" ht="15" thickTop="1" x14ac:dyDescent="0.3">
      <c r="B12" s="1"/>
      <c r="C12" s="283">
        <v>1</v>
      </c>
      <c r="D12" s="309" t="s">
        <v>348</v>
      </c>
      <c r="E12" s="12"/>
      <c r="F12" s="318"/>
      <c r="G12" s="311"/>
      <c r="H12" s="13"/>
      <c r="I12" s="13">
        <f>H13+H14+H15</f>
        <v>115884.9210412</v>
      </c>
      <c r="J12" s="14"/>
      <c r="K12" s="15"/>
    </row>
    <row r="13" spans="2:11" x14ac:dyDescent="0.3">
      <c r="B13" s="54"/>
      <c r="C13" s="284" t="s">
        <v>361</v>
      </c>
      <c r="D13" s="291" t="s">
        <v>360</v>
      </c>
      <c r="E13" s="17" t="s">
        <v>359</v>
      </c>
      <c r="F13" s="319">
        <f>+Computo!L20</f>
        <v>2.9560000000000013</v>
      </c>
      <c r="G13" s="312">
        <f>+'ANALISIS DE PRECIOS'!G203</f>
        <v>1545.52</v>
      </c>
      <c r="H13" s="292">
        <f>+F13*G13</f>
        <v>4568.5571200000022</v>
      </c>
      <c r="I13" s="19"/>
      <c r="J13" s="20"/>
      <c r="K13" s="21"/>
    </row>
    <row r="14" spans="2:11" x14ac:dyDescent="0.3">
      <c r="B14" s="54"/>
      <c r="C14" s="285" t="s">
        <v>363</v>
      </c>
      <c r="D14" s="287" t="s">
        <v>362</v>
      </c>
      <c r="E14" s="17" t="s">
        <v>359</v>
      </c>
      <c r="F14" s="324">
        <f>+Computo!L21</f>
        <v>5.6353580000000001</v>
      </c>
      <c r="G14" s="312">
        <f>+'ANALISIS DE PRECIOS'!G222</f>
        <v>11591.4</v>
      </c>
      <c r="H14" s="18">
        <f>+F14*G14</f>
        <v>65321.6887212</v>
      </c>
      <c r="I14" s="19"/>
      <c r="J14" s="20"/>
      <c r="K14" s="21"/>
    </row>
    <row r="15" spans="2:11" x14ac:dyDescent="0.3">
      <c r="B15" s="54"/>
      <c r="C15" s="284" t="s">
        <v>364</v>
      </c>
      <c r="D15" s="287" t="s">
        <v>552</v>
      </c>
      <c r="E15" s="17" t="s">
        <v>359</v>
      </c>
      <c r="F15" s="325">
        <f>+Computo!L23</f>
        <v>29.760000000000005</v>
      </c>
      <c r="G15" s="312">
        <f>+'ANALISIS DE PRECIOS'!G203</f>
        <v>1545.52</v>
      </c>
      <c r="H15" s="18">
        <f>+F15*G15</f>
        <v>45994.675200000005</v>
      </c>
      <c r="I15" s="19"/>
      <c r="J15" s="20"/>
      <c r="K15" s="21"/>
    </row>
    <row r="16" spans="2:11" x14ac:dyDescent="0.3">
      <c r="B16" s="54"/>
      <c r="C16" s="284" t="s">
        <v>391</v>
      </c>
      <c r="D16" s="309" t="s">
        <v>347</v>
      </c>
      <c r="E16" s="17"/>
      <c r="F16" s="325"/>
      <c r="G16" s="312"/>
      <c r="H16" s="18"/>
      <c r="I16" s="19">
        <f>H17+H21+H22+H18</f>
        <v>1716684.5630010003</v>
      </c>
      <c r="J16" s="22"/>
      <c r="K16" s="21"/>
    </row>
    <row r="17" spans="2:11" x14ac:dyDescent="0.3">
      <c r="B17" s="1"/>
      <c r="C17" s="285" t="s">
        <v>392</v>
      </c>
      <c r="D17" t="s">
        <v>366</v>
      </c>
      <c r="E17" s="24" t="s">
        <v>359</v>
      </c>
      <c r="F17" s="320">
        <f>+Computo!K25</f>
        <v>2.9560000000000013</v>
      </c>
      <c r="G17" s="313">
        <f>+'ANALISIS DE PRECIOS'!G290</f>
        <v>160846.1</v>
      </c>
      <c r="H17" s="19">
        <f>+F17*G17</f>
        <v>475461.0716000002</v>
      </c>
      <c r="I17" s="19"/>
      <c r="J17" s="20"/>
      <c r="K17" s="15"/>
    </row>
    <row r="18" spans="2:11" x14ac:dyDescent="0.3">
      <c r="B18" s="54"/>
      <c r="C18" s="284" t="s">
        <v>393</v>
      </c>
      <c r="D18" t="s">
        <v>367</v>
      </c>
      <c r="E18" s="17" t="s">
        <v>359</v>
      </c>
      <c r="F18" s="325">
        <f>+Computo!K26</f>
        <v>5.6353580000000001</v>
      </c>
      <c r="G18" s="312">
        <f>+'ANALISIS DE PRECIOS'!G244</f>
        <v>152259.5</v>
      </c>
      <c r="H18" s="18">
        <f>+F18*G18</f>
        <v>858036.79140099999</v>
      </c>
      <c r="I18" s="19"/>
      <c r="J18" s="20"/>
      <c r="K18" s="21"/>
    </row>
    <row r="19" spans="2:11" x14ac:dyDescent="0.3">
      <c r="B19" s="1"/>
      <c r="C19" s="284" t="s">
        <v>394</v>
      </c>
      <c r="D19" t="s">
        <v>368</v>
      </c>
      <c r="E19" s="17" t="s">
        <v>359</v>
      </c>
      <c r="F19" s="321">
        <f>+Computo!L27</f>
        <v>0.83200000000000007</v>
      </c>
      <c r="G19" s="312"/>
      <c r="H19" s="18"/>
      <c r="I19" s="19"/>
      <c r="J19" s="20"/>
      <c r="K19" s="15"/>
    </row>
    <row r="20" spans="2:11" x14ac:dyDescent="0.3">
      <c r="B20" s="54"/>
      <c r="C20" s="284" t="s">
        <v>395</v>
      </c>
      <c r="D20" t="s">
        <v>369</v>
      </c>
      <c r="E20" s="17" t="s">
        <v>359</v>
      </c>
      <c r="F20" s="325">
        <f>+Computo!L28</f>
        <v>0.48533347199999999</v>
      </c>
      <c r="G20" s="312"/>
      <c r="H20" s="18"/>
      <c r="I20" s="19"/>
      <c r="J20" s="20"/>
      <c r="K20" s="21"/>
    </row>
    <row r="21" spans="2:11" x14ac:dyDescent="0.3">
      <c r="B21" s="54"/>
      <c r="C21" s="284" t="s">
        <v>396</v>
      </c>
      <c r="D21" t="s">
        <v>370</v>
      </c>
      <c r="E21" s="17" t="s">
        <v>359</v>
      </c>
      <c r="F21" s="325"/>
      <c r="G21" s="312">
        <f>+'ANALISIS DE PRECIOS'!G267</f>
        <v>222340.6</v>
      </c>
      <c r="H21" s="18">
        <f>+G21</f>
        <v>222340.6</v>
      </c>
      <c r="I21" s="19"/>
      <c r="J21" s="22"/>
      <c r="K21" s="21"/>
    </row>
    <row r="22" spans="2:11" x14ac:dyDescent="0.3">
      <c r="B22" s="54"/>
      <c r="C22" s="16">
        <v>2</v>
      </c>
      <c r="D22" t="s">
        <v>371</v>
      </c>
      <c r="E22" s="17" t="s">
        <v>359</v>
      </c>
      <c r="F22" s="325"/>
      <c r="G22" s="312">
        <f>+'ANALISIS DE PRECIOS'!G290</f>
        <v>160846.1</v>
      </c>
      <c r="H22" s="18">
        <f>+G22</f>
        <v>160846.1</v>
      </c>
      <c r="I22" s="19"/>
      <c r="J22" s="20"/>
      <c r="K22" s="21"/>
    </row>
    <row r="23" spans="2:11" x14ac:dyDescent="0.3">
      <c r="B23" s="54"/>
      <c r="C23" s="16" t="s">
        <v>365</v>
      </c>
      <c r="D23" t="s">
        <v>372</v>
      </c>
      <c r="E23" s="17" t="s">
        <v>359</v>
      </c>
      <c r="F23" s="325">
        <f>+Computo!K33</f>
        <v>356.30400000000003</v>
      </c>
      <c r="G23" s="312"/>
      <c r="H23" s="18"/>
      <c r="I23" s="19"/>
      <c r="J23" s="20"/>
      <c r="K23" s="21"/>
    </row>
    <row r="24" spans="2:11" x14ac:dyDescent="0.3">
      <c r="B24" s="54"/>
      <c r="C24" s="16" t="s">
        <v>403</v>
      </c>
      <c r="D24" s="310" t="s">
        <v>349</v>
      </c>
      <c r="E24" s="17"/>
      <c r="F24" s="325"/>
      <c r="G24" s="312"/>
      <c r="H24" s="18"/>
      <c r="I24" s="19">
        <f>+H25+H26</f>
        <v>3530704.4843499996</v>
      </c>
      <c r="J24" s="22"/>
      <c r="K24" s="21"/>
    </row>
    <row r="25" spans="2:11" x14ac:dyDescent="0.3">
      <c r="B25" s="54"/>
      <c r="C25" s="16" t="s">
        <v>373</v>
      </c>
      <c r="D25" t="s">
        <v>379</v>
      </c>
      <c r="E25" s="281" t="s">
        <v>359</v>
      </c>
      <c r="F25" s="325">
        <f>+Computo!L36</f>
        <v>165.53199999999998</v>
      </c>
      <c r="G25" s="312">
        <f>+'ANALISIS DE PRECIOS'!G330</f>
        <v>19721.05</v>
      </c>
      <c r="H25" s="18">
        <f>+F25*G25</f>
        <v>3264464.8485999997</v>
      </c>
      <c r="I25" s="19"/>
      <c r="J25" s="22"/>
      <c r="K25" s="21"/>
    </row>
    <row r="26" spans="2:11" x14ac:dyDescent="0.3">
      <c r="B26" s="54"/>
      <c r="C26" s="16" t="s">
        <v>374</v>
      </c>
      <c r="D26" t="s">
        <v>382</v>
      </c>
      <c r="E26" s="17" t="s">
        <v>359</v>
      </c>
      <c r="F26" s="325">
        <f>+Computo!L55</f>
        <v>2.4750000000000001</v>
      </c>
      <c r="G26" s="312">
        <f>+'ANALISIS DE PRECIOS'!G374</f>
        <v>107571.57</v>
      </c>
      <c r="H26" s="18">
        <f>+F26*G26</f>
        <v>266239.63575000002</v>
      </c>
      <c r="I26" s="19"/>
      <c r="J26" s="22"/>
      <c r="K26" s="21"/>
    </row>
    <row r="27" spans="2:11" x14ac:dyDescent="0.3">
      <c r="B27" s="54"/>
      <c r="C27" s="16" t="s">
        <v>375</v>
      </c>
      <c r="D27" s="310" t="s">
        <v>350</v>
      </c>
      <c r="E27" s="17"/>
      <c r="F27" s="325"/>
      <c r="G27" s="312"/>
      <c r="H27" s="18"/>
      <c r="I27" s="19">
        <f>+H28</f>
        <v>237873.04364999995</v>
      </c>
      <c r="J27" s="20"/>
      <c r="K27" s="21"/>
    </row>
    <row r="28" spans="2:11" x14ac:dyDescent="0.3">
      <c r="B28" s="54"/>
      <c r="C28" s="16" t="s">
        <v>376</v>
      </c>
      <c r="D28" t="s">
        <v>350</v>
      </c>
      <c r="E28" s="17" t="s">
        <v>0</v>
      </c>
      <c r="F28" s="321">
        <f>+Computo!O62</f>
        <v>85.024499999999989</v>
      </c>
      <c r="G28" s="312">
        <f>+'ANALISIS DE PRECIOS'!G458</f>
        <v>2797.7</v>
      </c>
      <c r="H28" s="18">
        <f>+F28*G28</f>
        <v>237873.04364999995</v>
      </c>
      <c r="I28" s="19"/>
      <c r="J28" s="22"/>
      <c r="K28" s="21"/>
    </row>
    <row r="29" spans="2:11" x14ac:dyDescent="0.3">
      <c r="B29" s="1"/>
      <c r="C29" s="23" t="s">
        <v>377</v>
      </c>
      <c r="E29" s="24"/>
      <c r="F29" s="325"/>
      <c r="G29" s="313"/>
      <c r="H29" s="19"/>
      <c r="I29" s="19"/>
      <c r="J29" s="20"/>
      <c r="K29" s="15"/>
    </row>
    <row r="30" spans="2:11" x14ac:dyDescent="0.3">
      <c r="B30" s="54"/>
      <c r="C30" s="16" t="s">
        <v>378</v>
      </c>
      <c r="D30" s="310" t="s">
        <v>351</v>
      </c>
      <c r="E30" s="17"/>
      <c r="F30" s="325"/>
      <c r="G30" s="312"/>
      <c r="H30" s="18"/>
      <c r="I30" s="19">
        <f>+H31</f>
        <v>366692.125</v>
      </c>
      <c r="J30" s="20"/>
      <c r="K30" s="21"/>
    </row>
    <row r="31" spans="2:11" x14ac:dyDescent="0.3">
      <c r="B31" s="54"/>
      <c r="C31" s="16" t="s">
        <v>404</v>
      </c>
      <c r="D31" s="25" t="s">
        <v>426</v>
      </c>
      <c r="E31" s="17" t="s">
        <v>0</v>
      </c>
      <c r="F31" s="321">
        <f>+Computo!L66</f>
        <v>212.5</v>
      </c>
      <c r="G31" s="312">
        <f>+'ANALISIS DE PRECIOS'!G771</f>
        <v>1725.61</v>
      </c>
      <c r="H31" s="18">
        <f>+F31*G31</f>
        <v>366692.125</v>
      </c>
      <c r="I31" s="19"/>
      <c r="J31" s="22"/>
      <c r="K31" s="21"/>
    </row>
    <row r="32" spans="2:11" x14ac:dyDescent="0.3">
      <c r="B32" s="54"/>
      <c r="C32" s="16">
        <v>3</v>
      </c>
      <c r="D32" s="310" t="s">
        <v>352</v>
      </c>
      <c r="E32" s="17"/>
      <c r="F32" s="325"/>
      <c r="G32" s="312"/>
      <c r="H32" s="18"/>
      <c r="I32" s="19">
        <f>+H33</f>
        <v>690737.625</v>
      </c>
      <c r="J32" s="22"/>
      <c r="K32" s="21"/>
    </row>
    <row r="33" spans="2:11" x14ac:dyDescent="0.3">
      <c r="B33" s="1"/>
      <c r="C33" s="23" t="s">
        <v>380</v>
      </c>
      <c r="D33" t="s">
        <v>422</v>
      </c>
      <c r="E33" s="24" t="s">
        <v>0</v>
      </c>
      <c r="F33" s="325">
        <f>+Computo!L76</f>
        <v>212.5</v>
      </c>
      <c r="G33" s="313">
        <f>+'ANALISIS DE PRECIOS'!G838</f>
        <v>3250.5299999999997</v>
      </c>
      <c r="H33" s="19">
        <f>+F33*G33</f>
        <v>690737.625</v>
      </c>
      <c r="I33" s="19"/>
      <c r="J33" s="20"/>
      <c r="K33" s="15"/>
    </row>
    <row r="34" spans="2:11" x14ac:dyDescent="0.3">
      <c r="B34" s="54"/>
      <c r="C34" s="16" t="s">
        <v>381</v>
      </c>
      <c r="D34" s="310" t="s">
        <v>353</v>
      </c>
      <c r="E34" s="17"/>
      <c r="F34" s="325"/>
      <c r="G34" s="312"/>
      <c r="H34" s="18"/>
      <c r="I34" s="19">
        <f>+H35</f>
        <v>190831.59200000003</v>
      </c>
      <c r="J34" s="20"/>
      <c r="K34" s="21"/>
    </row>
    <row r="35" spans="2:11" x14ac:dyDescent="0.3">
      <c r="B35" s="54"/>
      <c r="C35" s="16" t="s">
        <v>405</v>
      </c>
      <c r="D35" t="s">
        <v>427</v>
      </c>
      <c r="E35" s="17" t="s">
        <v>251</v>
      </c>
      <c r="F35" s="325">
        <f>+Computo!L78</f>
        <v>184.3</v>
      </c>
      <c r="G35" s="312">
        <f>+'ANALISIS DE PRECIOS'!G926</f>
        <v>1035.44</v>
      </c>
      <c r="H35" s="18">
        <f>+F35*G35</f>
        <v>190831.59200000003</v>
      </c>
      <c r="I35" s="19"/>
      <c r="J35" s="22"/>
      <c r="K35" s="21"/>
    </row>
    <row r="36" spans="2:11" x14ac:dyDescent="0.3">
      <c r="B36" s="54"/>
      <c r="C36" s="16" t="s">
        <v>406</v>
      </c>
      <c r="D36" s="310" t="s">
        <v>354</v>
      </c>
      <c r="E36" s="17"/>
      <c r="F36" s="325"/>
      <c r="G36" s="312"/>
      <c r="H36" s="18"/>
      <c r="I36" s="19">
        <f>+H37+H38</f>
        <v>4544660.0741999997</v>
      </c>
      <c r="J36" s="22"/>
      <c r="K36" s="21"/>
    </row>
    <row r="37" spans="2:11" x14ac:dyDescent="0.3">
      <c r="B37" s="54"/>
      <c r="C37" s="16" t="s">
        <v>407</v>
      </c>
      <c r="D37" t="s">
        <v>428</v>
      </c>
      <c r="E37" s="17" t="s">
        <v>0</v>
      </c>
      <c r="F37" s="325">
        <f>+Computo!L81</f>
        <v>483.94</v>
      </c>
      <c r="G37" s="312">
        <f>+'ANALISIS DE PRECIOS'!G602</f>
        <v>7637.03</v>
      </c>
      <c r="H37" s="18">
        <f>+F37*G37</f>
        <v>3695864.2982000001</v>
      </c>
      <c r="I37" s="19"/>
      <c r="J37" s="22"/>
      <c r="K37" s="21"/>
    </row>
    <row r="38" spans="2:11" x14ac:dyDescent="0.3">
      <c r="B38" s="1"/>
      <c r="C38" s="23" t="s">
        <v>408</v>
      </c>
      <c r="D38" t="s">
        <v>386</v>
      </c>
      <c r="E38" s="24" t="s">
        <v>0</v>
      </c>
      <c r="F38" s="325">
        <f>+Computo!L99</f>
        <v>656.79999999999984</v>
      </c>
      <c r="G38" s="313">
        <f>+'ANALISIS DE PRECIOS'!G558</f>
        <v>1292.32</v>
      </c>
      <c r="H38" s="19">
        <f>+F38*G38</f>
        <v>848795.77599999972</v>
      </c>
      <c r="I38" s="19"/>
      <c r="J38" s="20"/>
      <c r="K38" s="15"/>
    </row>
    <row r="39" spans="2:11" x14ac:dyDescent="0.3">
      <c r="B39" s="54"/>
      <c r="C39" s="16" t="s">
        <v>409</v>
      </c>
      <c r="D39" s="310" t="s">
        <v>355</v>
      </c>
      <c r="E39" s="17"/>
      <c r="F39" s="325"/>
      <c r="G39" s="312"/>
      <c r="H39" s="18"/>
      <c r="I39" s="19">
        <f>+H40+H41+H44+H45</f>
        <v>2501163.4062100002</v>
      </c>
      <c r="J39" s="20"/>
      <c r="K39" s="21"/>
    </row>
    <row r="40" spans="2:11" x14ac:dyDescent="0.3">
      <c r="B40" s="54"/>
      <c r="C40" s="16" t="s">
        <v>410</v>
      </c>
      <c r="D40" t="s">
        <v>387</v>
      </c>
      <c r="E40" s="17" t="s">
        <v>0</v>
      </c>
      <c r="F40" s="325">
        <f>+Computo!K122</f>
        <v>483.94</v>
      </c>
      <c r="G40" s="312">
        <f>+'ANALISIS DE PRECIOS'!G1089</f>
        <v>2561.25</v>
      </c>
      <c r="H40" s="18">
        <f t="shared" ref="H40:H45" si="0">+F40*G40</f>
        <v>1239491.325</v>
      </c>
      <c r="I40" s="19"/>
      <c r="J40" s="20"/>
      <c r="K40" s="21"/>
    </row>
    <row r="41" spans="2:11" x14ac:dyDescent="0.3">
      <c r="B41" s="54"/>
      <c r="C41" s="16" t="s">
        <v>411</v>
      </c>
      <c r="D41" t="s">
        <v>388</v>
      </c>
      <c r="E41" s="17" t="s">
        <v>0</v>
      </c>
      <c r="F41" s="325">
        <f>+Computo!K123</f>
        <v>656.79999999999984</v>
      </c>
      <c r="G41" s="312">
        <f>+'ANALISIS DE PRECIOS'!G1069</f>
        <v>1913.5100000000002</v>
      </c>
      <c r="H41" s="18">
        <f t="shared" si="0"/>
        <v>1256793.3679999998</v>
      </c>
      <c r="I41" s="19"/>
      <c r="J41" s="20"/>
      <c r="K41" s="21"/>
    </row>
    <row r="42" spans="2:11" x14ac:dyDescent="0.3">
      <c r="B42" s="54"/>
      <c r="C42" s="16">
        <v>4</v>
      </c>
      <c r="D42" t="s">
        <v>423</v>
      </c>
      <c r="E42" s="17" t="s">
        <v>0</v>
      </c>
      <c r="F42" s="325"/>
      <c r="G42" s="312"/>
      <c r="H42" s="18"/>
      <c r="I42" s="19"/>
      <c r="J42" s="20"/>
      <c r="K42" s="21"/>
    </row>
    <row r="43" spans="2:11" x14ac:dyDescent="0.3">
      <c r="B43" s="1"/>
      <c r="C43" s="23" t="s">
        <v>383</v>
      </c>
      <c r="D43" t="s">
        <v>424</v>
      </c>
      <c r="E43" s="17" t="s">
        <v>0</v>
      </c>
      <c r="F43" s="325"/>
      <c r="G43" s="312"/>
      <c r="H43" s="18"/>
      <c r="I43" s="19"/>
      <c r="J43" s="20"/>
      <c r="K43" s="15"/>
    </row>
    <row r="44" spans="2:11" x14ac:dyDescent="0.3">
      <c r="B44" s="54"/>
      <c r="C44" s="16" t="s">
        <v>397</v>
      </c>
      <c r="D44" t="s">
        <v>425</v>
      </c>
      <c r="E44" s="17" t="s">
        <v>0</v>
      </c>
      <c r="F44" s="325">
        <f>+Computo!K124</f>
        <v>1.827</v>
      </c>
      <c r="G44" s="312">
        <f>+'ANALISIS DE PRECIOS'!G1147</f>
        <v>1413.71</v>
      </c>
      <c r="H44" s="18">
        <f t="shared" si="0"/>
        <v>2582.8481700000002</v>
      </c>
      <c r="I44" s="19"/>
      <c r="J44" s="20"/>
      <c r="K44" s="21"/>
    </row>
    <row r="45" spans="2:11" x14ac:dyDescent="0.3">
      <c r="B45" s="1"/>
      <c r="C45" s="23" t="s">
        <v>412</v>
      </c>
      <c r="D45" t="s">
        <v>425</v>
      </c>
      <c r="E45" s="17" t="s">
        <v>0</v>
      </c>
      <c r="F45" s="325">
        <f>+Computo!K125</f>
        <v>1.6239999999999999</v>
      </c>
      <c r="G45" s="312">
        <f>+'ANALISIS DE PRECIOS'!G1147</f>
        <v>1413.71</v>
      </c>
      <c r="H45" s="18">
        <f t="shared" si="0"/>
        <v>2295.8650399999997</v>
      </c>
      <c r="I45" s="19"/>
      <c r="J45" s="20"/>
      <c r="K45" s="15"/>
    </row>
    <row r="46" spans="2:11" x14ac:dyDescent="0.3">
      <c r="B46" s="54"/>
      <c r="C46" s="16" t="s">
        <v>413</v>
      </c>
      <c r="D46" s="310" t="s">
        <v>356</v>
      </c>
      <c r="E46" s="17"/>
      <c r="F46" s="325"/>
      <c r="G46" s="312"/>
      <c r="H46" s="18"/>
      <c r="I46" s="19">
        <f>+H47</f>
        <v>1016111.25</v>
      </c>
      <c r="J46" s="22"/>
      <c r="K46" s="21"/>
    </row>
    <row r="47" spans="2:11" x14ac:dyDescent="0.3">
      <c r="B47" s="54"/>
      <c r="C47" s="16" t="s">
        <v>414</v>
      </c>
      <c r="D47" t="s">
        <v>389</v>
      </c>
      <c r="E47" s="24" t="s">
        <v>0</v>
      </c>
      <c r="F47" s="325">
        <f>+Computo!L126</f>
        <v>212.5</v>
      </c>
      <c r="G47" s="313">
        <f>+'ANALISIS DE PRECIOS'!G1029</f>
        <v>4781.7</v>
      </c>
      <c r="H47" s="19">
        <f>+F47*G47</f>
        <v>1016111.25</v>
      </c>
      <c r="I47" s="19"/>
      <c r="J47" s="20"/>
      <c r="K47" s="21"/>
    </row>
    <row r="48" spans="2:11" x14ac:dyDescent="0.3">
      <c r="B48" s="1"/>
      <c r="C48" s="16" t="s">
        <v>415</v>
      </c>
      <c r="D48" s="310" t="s">
        <v>357</v>
      </c>
      <c r="E48" s="17"/>
      <c r="F48" s="325"/>
      <c r="G48" s="312"/>
      <c r="H48" s="18"/>
      <c r="I48" s="19">
        <f>+H49+H54+H55+H50+H51+H52+H53</f>
        <v>235785.23</v>
      </c>
      <c r="J48" s="22"/>
      <c r="K48" s="15"/>
    </row>
    <row r="49" spans="2:11" x14ac:dyDescent="0.3">
      <c r="B49" s="54"/>
      <c r="C49" s="16" t="s">
        <v>416</v>
      </c>
      <c r="D49" t="s">
        <v>559</v>
      </c>
      <c r="E49" s="24" t="s">
        <v>390</v>
      </c>
      <c r="F49" s="325">
        <f>+Computo!L130</f>
        <v>4</v>
      </c>
      <c r="G49" s="313">
        <v>11682.87</v>
      </c>
      <c r="H49" s="19">
        <f t="shared" ref="H49:H57" si="1">+F49*G49</f>
        <v>46731.48</v>
      </c>
      <c r="I49" s="19"/>
      <c r="J49" s="20"/>
      <c r="K49" s="21"/>
    </row>
    <row r="50" spans="2:11" x14ac:dyDescent="0.3">
      <c r="B50" s="1"/>
      <c r="C50" s="16" t="s">
        <v>417</v>
      </c>
      <c r="D50" t="s">
        <v>554</v>
      </c>
      <c r="E50" s="17" t="s">
        <v>390</v>
      </c>
      <c r="F50" s="325">
        <f>+Computo!L131</f>
        <v>3</v>
      </c>
      <c r="G50" s="312">
        <v>16350</v>
      </c>
      <c r="H50" s="18">
        <f t="shared" si="1"/>
        <v>49050</v>
      </c>
      <c r="I50" s="19"/>
      <c r="J50" s="20"/>
      <c r="K50" s="1"/>
    </row>
    <row r="51" spans="2:11" x14ac:dyDescent="0.3">
      <c r="B51" s="1"/>
      <c r="C51" s="16" t="s">
        <v>418</v>
      </c>
      <c r="D51" t="s">
        <v>555</v>
      </c>
      <c r="E51" s="17" t="s">
        <v>390</v>
      </c>
      <c r="F51" s="325">
        <f>+Computo!L132</f>
        <v>2</v>
      </c>
      <c r="G51" s="312">
        <v>18190.75</v>
      </c>
      <c r="H51" s="18">
        <f t="shared" si="1"/>
        <v>36381.5</v>
      </c>
      <c r="I51" s="19"/>
      <c r="J51" s="22"/>
      <c r="K51" s="1"/>
    </row>
    <row r="52" spans="2:11" x14ac:dyDescent="0.3">
      <c r="B52" s="1"/>
      <c r="C52" s="16">
        <v>5</v>
      </c>
      <c r="D52" t="s">
        <v>556</v>
      </c>
      <c r="E52" s="17" t="s">
        <v>390</v>
      </c>
      <c r="F52" s="325">
        <f>+Computo!L133</f>
        <v>2</v>
      </c>
      <c r="G52" s="312">
        <v>16350</v>
      </c>
      <c r="H52" s="18">
        <f t="shared" si="1"/>
        <v>32700</v>
      </c>
      <c r="I52" s="19"/>
      <c r="J52" s="20"/>
      <c r="K52" s="1"/>
    </row>
    <row r="53" spans="2:11" x14ac:dyDescent="0.3">
      <c r="B53" s="1"/>
      <c r="C53" s="16" t="s">
        <v>384</v>
      </c>
      <c r="D53" t="s">
        <v>557</v>
      </c>
      <c r="E53" s="17" t="s">
        <v>390</v>
      </c>
      <c r="F53" s="325">
        <f>+Computo!L134</f>
        <v>3</v>
      </c>
      <c r="G53" s="312">
        <v>18190.75</v>
      </c>
      <c r="H53" s="18">
        <f t="shared" si="1"/>
        <v>54572.25</v>
      </c>
      <c r="I53" s="19"/>
      <c r="J53" s="22"/>
      <c r="K53" s="1"/>
    </row>
    <row r="54" spans="2:11" x14ac:dyDescent="0.3">
      <c r="B54" s="1"/>
      <c r="C54" s="16" t="s">
        <v>398</v>
      </c>
      <c r="D54" t="s">
        <v>558</v>
      </c>
      <c r="E54" s="17" t="s">
        <v>390</v>
      </c>
      <c r="F54" s="325">
        <f>+Computo!L135</f>
        <v>1</v>
      </c>
      <c r="G54" s="312">
        <v>16350</v>
      </c>
      <c r="H54" s="18">
        <f t="shared" si="1"/>
        <v>16350</v>
      </c>
      <c r="I54" s="19"/>
      <c r="J54" s="20"/>
      <c r="K54" s="1"/>
    </row>
    <row r="55" spans="2:11" x14ac:dyDescent="0.3">
      <c r="B55" s="1"/>
      <c r="C55" s="16" t="s">
        <v>399</v>
      </c>
      <c r="D55" s="310" t="s">
        <v>429</v>
      </c>
      <c r="E55" s="17"/>
      <c r="F55" s="325"/>
      <c r="G55" s="312"/>
      <c r="H55" s="331"/>
      <c r="I55" s="19">
        <f>H56+H57</f>
        <v>210926</v>
      </c>
      <c r="J55" s="22"/>
      <c r="K55" s="1"/>
    </row>
    <row r="56" spans="2:11" x14ac:dyDescent="0.3">
      <c r="B56" s="1"/>
      <c r="C56" s="16" t="s">
        <v>400</v>
      </c>
      <c r="D56" t="s">
        <v>560</v>
      </c>
      <c r="E56" s="17" t="s">
        <v>390</v>
      </c>
      <c r="F56" s="325">
        <f>+Computo!L137</f>
        <v>4</v>
      </c>
      <c r="G56" s="312">
        <v>16350</v>
      </c>
      <c r="H56" s="18">
        <f t="shared" si="1"/>
        <v>65400</v>
      </c>
      <c r="I56" s="19"/>
      <c r="J56" s="20"/>
      <c r="K56" s="1"/>
    </row>
    <row r="57" spans="2:11" x14ac:dyDescent="0.3">
      <c r="B57" s="1"/>
      <c r="C57" s="16" t="s">
        <v>401</v>
      </c>
      <c r="D57" t="s">
        <v>561</v>
      </c>
      <c r="E57" s="17" t="s">
        <v>390</v>
      </c>
      <c r="F57" s="325">
        <f>+Computo!L138</f>
        <v>8</v>
      </c>
      <c r="G57" s="312">
        <v>18190.75</v>
      </c>
      <c r="H57" s="18">
        <f t="shared" si="1"/>
        <v>145526</v>
      </c>
      <c r="I57" s="19"/>
      <c r="J57" s="22"/>
      <c r="K57" s="1"/>
    </row>
    <row r="58" spans="2:11" x14ac:dyDescent="0.3">
      <c r="B58" s="1"/>
      <c r="C58" s="16" t="s">
        <v>402</v>
      </c>
      <c r="D58" s="310" t="s">
        <v>358</v>
      </c>
      <c r="E58" s="24"/>
      <c r="F58" s="326"/>
      <c r="G58" s="313"/>
      <c r="H58" s="19"/>
      <c r="I58" s="19">
        <f>+H59+H60+H61+H62+H63</f>
        <v>44704.752799999995</v>
      </c>
      <c r="J58" s="20"/>
      <c r="K58" s="1"/>
    </row>
    <row r="59" spans="2:11" x14ac:dyDescent="0.3">
      <c r="B59" s="1"/>
      <c r="C59" s="16" t="s">
        <v>419</v>
      </c>
      <c r="D59" t="s">
        <v>547</v>
      </c>
      <c r="E59" s="17" t="s">
        <v>0</v>
      </c>
      <c r="F59" s="322">
        <f>+Computo!L140</f>
        <v>5.3999999999999995</v>
      </c>
      <c r="G59" s="312">
        <f>+'ANALISIS DE PRECIOS'!G1419</f>
        <v>2486.36</v>
      </c>
      <c r="H59" s="18">
        <f>+F59*G59</f>
        <v>13426.343999999999</v>
      </c>
      <c r="I59" s="19"/>
      <c r="J59" s="20"/>
      <c r="K59" s="1"/>
    </row>
    <row r="60" spans="2:11" x14ac:dyDescent="0.3">
      <c r="B60" s="1"/>
      <c r="C60" s="16" t="s">
        <v>420</v>
      </c>
      <c r="D60" t="s">
        <v>548</v>
      </c>
      <c r="E60" s="17" t="s">
        <v>0</v>
      </c>
      <c r="F60" s="323">
        <f>+Computo!L141</f>
        <v>4.8</v>
      </c>
      <c r="G60" s="312">
        <f>G59</f>
        <v>2486.36</v>
      </c>
      <c r="H60" s="18">
        <f>+F60*G60</f>
        <v>11934.528</v>
      </c>
      <c r="I60" s="19"/>
      <c r="J60" s="20"/>
      <c r="K60" s="1"/>
    </row>
    <row r="61" spans="2:11" x14ac:dyDescent="0.3">
      <c r="B61" s="1"/>
      <c r="C61" s="16" t="s">
        <v>421</v>
      </c>
      <c r="D61" t="s">
        <v>549</v>
      </c>
      <c r="E61" s="17" t="s">
        <v>0</v>
      </c>
      <c r="F61" s="321">
        <f>+Computo!L142</f>
        <v>3.36</v>
      </c>
      <c r="G61" s="312">
        <f>G59</f>
        <v>2486.36</v>
      </c>
      <c r="H61" s="18">
        <f>+F61*G61</f>
        <v>8354.1695999999993</v>
      </c>
      <c r="I61" s="19"/>
      <c r="J61" s="22"/>
      <c r="K61" s="1"/>
    </row>
    <row r="62" spans="2:11" x14ac:dyDescent="0.3">
      <c r="C62" s="16">
        <v>6</v>
      </c>
      <c r="D62" t="s">
        <v>550</v>
      </c>
      <c r="E62" s="17" t="s">
        <v>0</v>
      </c>
      <c r="F62" s="322">
        <f>+Computo!L143</f>
        <v>1.2000000000000002</v>
      </c>
      <c r="G62" s="312">
        <f>G59</f>
        <v>2486.36</v>
      </c>
      <c r="H62" s="18">
        <f>+F62*G62</f>
        <v>2983.6320000000005</v>
      </c>
      <c r="I62" s="19"/>
      <c r="J62" s="20"/>
    </row>
    <row r="63" spans="2:11" ht="15" thickBot="1" x14ac:dyDescent="0.35">
      <c r="C63" s="16" t="s">
        <v>385</v>
      </c>
      <c r="D63" t="s">
        <v>551</v>
      </c>
      <c r="E63" s="17" t="s">
        <v>0</v>
      </c>
      <c r="F63" s="323">
        <f>+Computo!L144</f>
        <v>3.2199999999999998</v>
      </c>
      <c r="G63" s="312">
        <f>G59</f>
        <v>2486.36</v>
      </c>
      <c r="H63" s="18">
        <f>+F63*G63</f>
        <v>8006.0792000000001</v>
      </c>
      <c r="I63" s="19"/>
      <c r="J63" s="22"/>
    </row>
    <row r="64" spans="2:11" ht="16.8" thickTop="1" thickBot="1" x14ac:dyDescent="0.35">
      <c r="C64" s="26"/>
      <c r="D64" s="27" t="s">
        <v>14</v>
      </c>
      <c r="E64" s="28"/>
      <c r="F64" s="314"/>
      <c r="G64" s="29"/>
      <c r="H64" s="30"/>
      <c r="I64" s="31">
        <f>SUM(I13:I59)</f>
        <v>15286874.146211002</v>
      </c>
      <c r="J64" s="32">
        <f>SUM(J4:J59)</f>
        <v>0</v>
      </c>
    </row>
    <row r="65" spans="3:10" ht="16.2" thickTop="1" x14ac:dyDescent="0.3">
      <c r="C65" s="33"/>
      <c r="D65" s="34" t="s">
        <v>15</v>
      </c>
      <c r="E65" s="35"/>
      <c r="F65" s="290"/>
      <c r="G65" s="36"/>
      <c r="H65" s="37"/>
      <c r="I65" s="38">
        <f>I64</f>
        <v>15286874.146211002</v>
      </c>
      <c r="J65" s="39"/>
    </row>
    <row r="66" spans="3:10" ht="15.6" x14ac:dyDescent="0.3">
      <c r="C66" s="33"/>
      <c r="D66" s="34" t="s">
        <v>16</v>
      </c>
      <c r="E66" s="35"/>
      <c r="F66" s="40">
        <v>0.17499999999999999</v>
      </c>
      <c r="G66" s="36"/>
      <c r="H66" s="41"/>
      <c r="I66" s="42">
        <f>I65*F66</f>
        <v>2675202.9755869252</v>
      </c>
      <c r="J66" s="39"/>
    </row>
    <row r="67" spans="3:10" ht="15.6" x14ac:dyDescent="0.3">
      <c r="C67" s="33"/>
      <c r="D67" s="34"/>
      <c r="E67" s="35"/>
      <c r="F67" s="40"/>
      <c r="G67" s="36"/>
      <c r="H67" s="41"/>
      <c r="I67" s="38">
        <f>+I65+I66</f>
        <v>17962077.121797927</v>
      </c>
      <c r="J67" s="39"/>
    </row>
    <row r="68" spans="3:10" ht="15.6" x14ac:dyDescent="0.3">
      <c r="C68" s="33"/>
      <c r="D68" s="34" t="s">
        <v>17</v>
      </c>
      <c r="E68" s="35"/>
      <c r="F68" s="40">
        <v>0.1</v>
      </c>
      <c r="G68" s="36"/>
      <c r="H68" s="41"/>
      <c r="I68" s="38">
        <f>+I67*F68</f>
        <v>1796207.7121797928</v>
      </c>
      <c r="J68" s="39"/>
    </row>
    <row r="69" spans="3:10" ht="15.6" x14ac:dyDescent="0.3">
      <c r="C69" s="33"/>
      <c r="D69" s="34"/>
      <c r="E69" s="35"/>
      <c r="F69" s="40"/>
      <c r="G69" s="36"/>
      <c r="H69" s="41"/>
      <c r="I69" s="43">
        <f>I65+I66+I68</f>
        <v>19758284.833977718</v>
      </c>
      <c r="J69" s="39"/>
    </row>
    <row r="70" spans="3:10" ht="16.2" thickBot="1" x14ac:dyDescent="0.35">
      <c r="C70" s="33"/>
      <c r="D70" s="34" t="s">
        <v>18</v>
      </c>
      <c r="E70" s="35"/>
      <c r="F70" s="40">
        <v>0.23749999999999999</v>
      </c>
      <c r="G70" s="36"/>
      <c r="H70" s="41"/>
      <c r="I70" s="38">
        <f>I69*F70</f>
        <v>4692592.6480697077</v>
      </c>
      <c r="J70" s="39"/>
    </row>
    <row r="71" spans="3:10" ht="16.8" thickTop="1" thickBot="1" x14ac:dyDescent="0.35">
      <c r="C71" s="44"/>
      <c r="D71" s="34" t="s">
        <v>19</v>
      </c>
      <c r="E71" s="35"/>
      <c r="F71" s="290"/>
      <c r="G71" s="36"/>
      <c r="H71" s="36"/>
      <c r="I71" s="45">
        <f>I69+I70</f>
        <v>24450877.482047424</v>
      </c>
      <c r="J71" s="46"/>
    </row>
    <row r="72" spans="3:10" ht="16.8" thickTop="1" thickBot="1" x14ac:dyDescent="0.35">
      <c r="C72" s="44"/>
      <c r="D72" s="34"/>
      <c r="E72" s="35"/>
      <c r="F72" s="290"/>
      <c r="G72" s="36"/>
      <c r="H72" s="36"/>
      <c r="I72" s="47"/>
      <c r="J72" s="48"/>
    </row>
    <row r="73" spans="3:10" ht="16.8" thickTop="1" thickBot="1" x14ac:dyDescent="0.35">
      <c r="C73" s="44"/>
      <c r="D73" s="34" t="s">
        <v>20</v>
      </c>
      <c r="E73" s="35"/>
      <c r="F73" s="290"/>
      <c r="G73" s="36"/>
      <c r="H73" s="36"/>
      <c r="I73" s="49">
        <f>I71/I65</f>
        <v>1.5994687499999998</v>
      </c>
      <c r="J73" s="46"/>
    </row>
    <row r="74" spans="3:10" ht="16.8" thickTop="1" thickBot="1" x14ac:dyDescent="0.35">
      <c r="C74" s="44"/>
      <c r="D74" s="50" t="s">
        <v>21</v>
      </c>
      <c r="E74" s="34"/>
      <c r="F74" s="290"/>
      <c r="G74" s="36"/>
      <c r="H74" s="36"/>
      <c r="I74" s="51"/>
      <c r="J74" s="48"/>
    </row>
    <row r="75" spans="3:10" ht="16.8" thickTop="1" thickBot="1" x14ac:dyDescent="0.35">
      <c r="C75" s="286" t="s">
        <v>563</v>
      </c>
      <c r="D75" s="27"/>
      <c r="E75" s="27"/>
      <c r="F75" s="289"/>
      <c r="G75" s="52"/>
      <c r="H75" s="52"/>
      <c r="I75" s="52"/>
      <c r="J75" s="53"/>
    </row>
    <row r="76" spans="3:10" ht="15" thickTop="1" x14ac:dyDescent="0.3"/>
  </sheetData>
  <mergeCells count="3">
    <mergeCell ref="C4:H4"/>
    <mergeCell ref="I8:J8"/>
    <mergeCell ref="D6:H6"/>
  </mergeCells>
  <pageMargins left="0.7" right="0.7" top="0.75" bottom="0.75" header="0.3" footer="0.3"/>
  <pageSetup orientation="portrait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AE73-AAFC-46C2-9499-D4F1DB12E9D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LISTA</vt:lpstr>
      <vt:lpstr>ANALISIS DE PRECIOS</vt:lpstr>
      <vt:lpstr>Computo</vt:lpstr>
      <vt:lpstr>Presupuesto</vt:lpstr>
      <vt:lpstr>Hoja1</vt:lpstr>
      <vt:lpstr>'ANALISIS DE PRECIOS'!Área_de_impresión</vt:lpstr>
      <vt:lpstr>LISTA!Área_de_impresión</vt:lpstr>
      <vt:lpstr>'ANALISIS DE PRECIOS'!Títulos_a_imprimir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 Arevalo</dc:creator>
  <cp:lastModifiedBy>andrea fernandez</cp:lastModifiedBy>
  <dcterms:created xsi:type="dcterms:W3CDTF">2016-04-04T18:51:00Z</dcterms:created>
  <dcterms:modified xsi:type="dcterms:W3CDTF">2026-06-24T22:40:16Z</dcterms:modified>
</cp:coreProperties>
</file>